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29d2d7497044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bc19d3ad001449c4"/>
    <x:sheet xmlns:r="http://schemas.openxmlformats.org/officeDocument/2006/relationships" name="Run_Log" sheetId="2" r:id="Rd9c71033e4124be4"/>
    <x:sheet xmlns:r="http://schemas.openxmlformats.org/officeDocument/2006/relationships" name="Event_Log" sheetId="3" r:id="Rfb9e3cc01dde4bb5"/>
    <x:sheet xmlns:r="http://schemas.openxmlformats.org/officeDocument/2006/relationships" name="Level_Summary" sheetId="4" r:id="R0960a1490a1f4a53"/>
    <x:sheet xmlns:r="http://schemas.openxmlformats.org/officeDocument/2006/relationships" name="Failure_Summary" sheetId="5" r:id="R72dea60e6dc44221"/>
    <x:sheet xmlns:r="http://schemas.openxmlformats.org/officeDocument/2006/relationships" name="Route_Summary" sheetId="6" r:id="R3c76f1909470497c"/>
    <x:sheet xmlns:r="http://schemas.openxmlformats.org/officeDocument/2006/relationships" name="Dashboard" sheetId="7" r:id="R88b9326c3bb24e19"/>
    <x:sheet xmlns:r="http://schemas.openxmlformats.org/officeDocument/2006/relationships" name="Post_Test_Feedback" sheetId="8" r:id="R61c545aff961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3B2F2F"/>
      </x:patternFill>
    </x:fill>
    <x:fill>
      <x:patternFill patternType="solid">
        <x:fgColor rgb="FFEDE7E3"/>
      </x:patternFill>
    </x:fill>
    <x:fill>
      <x:patternFill patternType="solid">
        <x:fgColor rgb="FF6B4F3B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8ee269919f4d16" /><Relationship Type="http://schemas.openxmlformats.org/officeDocument/2006/relationships/theme" Target="/xl/theme/theme1.xml" Id="R5a458f387a5e493e" /><Relationship Type="http://schemas.openxmlformats.org/officeDocument/2006/relationships/sharedStrings" Target="/xl/sharedStrings.xml" Id="R8a6328d7bb294683" /><Relationship Type="http://schemas.openxmlformats.org/officeDocument/2006/relationships/worksheet" Target="/xl/worksheets/sheet1.xml" Id="Rbc19d3ad001449c4" /><Relationship Type="http://schemas.openxmlformats.org/officeDocument/2006/relationships/worksheet" Target="/xl/worksheets/sheet2.xml" Id="Rd9c71033e4124be4" /><Relationship Type="http://schemas.openxmlformats.org/officeDocument/2006/relationships/worksheet" Target="/xl/worksheets/sheet3.xml" Id="Rfb9e3cc01dde4bb5" /><Relationship Type="http://schemas.openxmlformats.org/officeDocument/2006/relationships/worksheet" Target="/xl/worksheets/sheet4.xml" Id="R0960a1490a1f4a53" /><Relationship Type="http://schemas.openxmlformats.org/officeDocument/2006/relationships/worksheet" Target="/xl/worksheets/sheet5.xml" Id="R72dea60e6dc44221" /><Relationship Type="http://schemas.openxmlformats.org/officeDocument/2006/relationships/worksheet" Target="/xl/worksheets/sheet6.xml" Id="R3c76f1909470497c" /><Relationship Type="http://schemas.openxmlformats.org/officeDocument/2006/relationships/worksheet" Target="/xl/worksheets/sheet7.xml" Id="R88b9326c3bb24e19" /><Relationship Type="http://schemas.openxmlformats.org/officeDocument/2006/relationships/worksheet" Target="/xl/worksheets/sheet8.xml" Id="R61c545aff96147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09e06d87a3c4e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12关目标时长上限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TargetUpper</c:v>
          </c:tx>
          <c:cat>
            <c:strRef>
              <c:f>'Dashboard'!$G$4:$G$15</c:f>
              <c:strCache>
                <c:ptCount val="0"/>
              </c:strCache>
            </c:strRef>
          </c:cat>
          <c:val>
            <c:numRef>
              <c:f>'Dashboard'!$H$4:$H$15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16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9e06d87a3c4e7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0ef24a978e46473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</x:cols>
  <x:sheetData>
    <x:row r="1">
      <x:c r="A1" s="4" t="str">
        <x:v>《猫忍不住》v1.2.26 玩家试玩 Tracker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目的</x:v>
      </x:c>
      <x:c r="B3" s="13" t="str">
        <x:v>采集 8 名玩家 × 12 关的首通与重试数据，定位卡点、路线偏斜和三猫爪冲突。</x:v>
      </x:c>
    </x:row>
    <x:row r="4">
      <x:c r="A4" s="12" t="str">
        <x:v>玩家数据</x:v>
      </x:c>
      <x:c r="B4" s="13" t="str">
        <x:v>Run_Log：每次尝试一行；Event_Log：关键事件一行。</x:v>
      </x:c>
    </x:row>
    <x:row r="5">
      <x:c r="A5" s="12" t="str">
        <x:v>路线编码</x:v>
      </x:c>
      <x:c r="B5" s="13" t="str">
        <x:v>SAFE / BALANCED / RISKY；首轮不向玩家解释三种路线。</x:v>
      </x:c>
    </x:row>
    <x:row r="6">
      <x:c r="A6" s="12" t="str">
        <x:v>原则</x:v>
      </x:c>
      <x:c r="B6" s="13" t="str">
        <x:v>自动统计负责发现异常，不自动替代关卡设计判断。</x:v>
      </x:c>
    </x:row>
    <x:row r="7">
      <x:c r="A7" s="12" t="str">
        <x:v>调参顺序</x:v>
      </x:c>
      <x:c r="B7" s="13" t="str">
        <x:v>可读性 → 时间 → 风险 → 表现。</x:v>
      </x:c>
    </x:row>
    <x:row r="8">
      <x:c r="A8" s="12" t="str">
        <x:v>规模</x:v>
      </x:c>
      <x:c r="B8" s="13" t="str">
        <x:v>8 × 12 = 96 个首轮主记录槽位；重试可继续新增行。</x:v>
      </x:c>
    </x:row>
    <x:row r="9">
      <x:c r="A9" s="12" t="str">
        <x:v>输出</x:v>
      </x:c>
      <x:c r="B9" s="13" t="str">
        <x:v>Level_Summary / Failure_Summary / Route_Summary / Dashboard。</x:v>
      </x:c>
    </x:row>
    <x:row r="10">
      <x:c r="A10" s="12" t="str">
        <x:v>来源</x:v>
      </x:c>
      <x:c r="B10" s="13" t="str">
        <x:v>v1.2.23 Balance Matrix + v1.2.25 ThreeRoute Playtest。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9" hidden="0" customWidth="1"/>
    <x:col min="4" max="4" width="9" hidden="0" customWidth="1"/>
    <x:col min="5" max="5" width="10" hidden="0" customWidth="1"/>
    <x:col min="6" max="6" width="16" hidden="0" customWidth="1"/>
    <x:col min="7" max="7" width="9" hidden="0" customWidth="1"/>
    <x:col min="8" max="8" width="10" hidden="0" customWidth="1"/>
    <x:col min="9" max="9" width="13" hidden="0" customWidth="1"/>
    <x:col min="10" max="10" width="14" hidden="0" customWidth="1"/>
    <x:col min="11" max="11" width="10" hidden="0" customWidth="1"/>
    <x:col min="12" max="12" width="12" hidden="0" customWidth="1"/>
    <x:col min="13" max="13" width="12" hidden="0" customWidth="1"/>
    <x:col min="14" max="14" width="12" hidden="0" customWidth="1"/>
    <x:col min="15" max="15" width="17" hidden="0" customWidth="1"/>
    <x:col min="16" max="16" width="17" hidden="0" customWidth="1"/>
    <x:col min="17" max="17" width="10" hidden="0" customWidth="1"/>
    <x:col min="18" max="18" width="15" hidden="0" customWidth="1"/>
    <x:col min="19" max="19" width="15" hidden="0" customWidth="1"/>
    <x:col min="20" max="20" width="14" hidden="0" customWidth="1"/>
    <x:col min="21" max="21" width="30" hidden="0" customWidth="1"/>
    <x:col min="22" max="22" width="14" hidden="0" customWidth="1"/>
    <x:col min="23" max="23" width="16" hidden="0" customWidth="1"/>
    <x:col min="24" max="24" width="14" hidden="0" customWidth="1"/>
    <x:col min="25" max="25" width="11" hidden="0" customWidth="1"/>
    <x:col min="26" max="26" width="13" hidden="0" customWidth="1"/>
  </x:cols>
  <x:sheetData>
    <x:row r="1">
      <x:c r="A1" s="19" t="str">
        <x:v>TesterID</x:v>
      </x:c>
      <x:c r="B1" s="19" t="str">
        <x:v>SessionID</x:v>
      </x:c>
      <x:c r="C1" s="19" t="str">
        <x:v>LevelID</x:v>
      </x:c>
      <x:c r="D1" s="19" t="str">
        <x:v>Chapter</x:v>
      </x:c>
      <x:c r="E1" s="19" t="str">
        <x:v>AttemptNo</x:v>
      </x:c>
      <x:c r="F1" s="19" t="str">
        <x:v>RouteObserved</x:v>
      </x:c>
      <x:c r="G1" s="19" t="str">
        <x:v>Clear</x:v>
      </x:c>
      <x:c r="H1" s="19" t="str">
        <x:v>TimeSec</x:v>
      </x:c>
      <x:c r="I1" s="19" t="str">
        <x:v>NinjaHPFinal</x:v>
      </x:c>
      <x:c r="J1" s="19" t="str">
        <x:v>MaxSuspicion</x:v>
      </x:c>
      <x:c r="K1" s="19" t="str">
        <x:v>PawCount</x:v>
      </x:c>
      <x:c r="L1" s="19" t="str">
        <x:v>HighRiskRescue</x:v>
      </x:c>
      <x:c r="M1" s="19" t="str">
        <x:v>ChainRescue</x:v>
      </x:c>
      <x:c r="N1" s="19" t="str">
        <x:v>ShortcutUsed</x:v>
      </x:c>
      <x:c r="O1" s="19" t="str">
        <x:v>FirstFailCode</x:v>
      </x:c>
      <x:c r="P1" s="19" t="str">
        <x:v>LastFailCode</x:v>
      </x:c>
      <x:c r="Q1" s="19" t="str">
        <x:v>RetryCount</x:v>
      </x:c>
      <x:c r="R1" s="19" t="str">
        <x:v>UnderstoodCore</x:v>
      </x:c>
      <x:c r="S1" s="19" t="str">
        <x:v>ChangedStrategy</x:v>
      </x:c>
      <x:c r="T1" s="19" t="str">
        <x:v>ThreeRouteGoal</x:v>
      </x:c>
      <x:c r="U1" s="19" t="str">
        <x:v>Notes</x:v>
      </x:c>
      <x:c r="V1" s="19" t="str">
        <x:v>TargetUpperSec</x:v>
      </x:c>
      <x:c r="W1" s="19" t="str">
        <x:v>FirstClearUpperSec</x:v>
      </x:c>
      <x:c r="X1" s="19" t="str">
        <x:v>TimeVsTarget</x:v>
      </x:c>
      <x:c r="Y1" s="19" t="str">
        <x:v>CoreGate</x:v>
      </x:c>
      <x:c r="Z1" s="19" t="str">
        <x:v>StrategyGate</x:v>
      </x:c>
    </x:row>
    <x:row r="2">
      <x:c r="A2" s="13" t="str">
        <x:v>T01</x:v>
      </x:c>
      <x:c r="B2" s="13" t="str"/>
      <x:c r="C2" s="13" t="str">
        <x:v>L01</x:v>
      </x:c>
      <x:c r="D2" s="13" t="str">
        <x:v>01</x:v>
      </x:c>
      <x:c r="E2" s="13" t="n">
        <x:v>1</x:v>
      </x:c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3" t="str"/>
      <x:c r="S2" s="13" t="str"/>
      <x:c r="T2" s="13" t="str"/>
      <x:c r="U2" s="13" t="str"/>
      <x:c r="V2" s="13" t="str"/>
      <x:c r="W2" s="13" t="n">
        <x:v>70</x:v>
      </x:c>
      <x:c r="X2" s="13" t="str">
        <x:f>IF(H2="","",H2-V2)</x:f>
      </x:c>
      <x:c r="Y2" s="13" t="str">
        <x:f>IF(R2="","",IF(OR(R2="Y",R2="Yes",R2="1"),"OK","NO"))</x:f>
      </x:c>
      <x:c r="Z2" s="13" t="str">
        <x:f>IF(S2="","",IF(OR(S2="Y",S2="Yes",S2="1"),"OK","NO"))</x:f>
      </x:c>
      <x:c r="AA2"/>
    </x:row>
    <x:row r="3">
      <x:c r="A3" s="13" t="str">
        <x:v>T01</x:v>
      </x:c>
      <x:c r="B3" s="13" t="str"/>
      <x:c r="C3" s="13" t="str">
        <x:v>L02</x:v>
      </x:c>
      <x:c r="D3" s="13" t="str">
        <x:v>01</x:v>
      </x:c>
      <x:c r="E3" s="13" t="n">
        <x:v>1</x:v>
      </x:c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  <x:c r="O3" s="13" t="str"/>
      <x:c r="P3" s="13" t="str"/>
      <x:c r="Q3" s="13" t="str"/>
      <x:c r="R3" s="13" t="str"/>
      <x:c r="S3" s="13" t="str"/>
      <x:c r="T3" s="13" t="str"/>
      <x:c r="U3" s="13" t="str"/>
      <x:c r="V3" s="13" t="str"/>
      <x:c r="W3" s="13" t="n">
        <x:v>65</x:v>
      </x:c>
      <x:c r="X3" s="13" t="str">
        <x:f>IF(H3="","",H3-V3)</x:f>
      </x:c>
      <x:c r="Y3" s="13" t="str">
        <x:f>IF(R3="","",IF(OR(R3="Y",R3="Yes",R3="1"),"OK","NO"))</x:f>
      </x:c>
      <x:c r="Z3" s="13" t="str">
        <x:f>IF(S3="","",IF(OR(S3="Y",S3="Yes",S3="1"),"OK","NO"))</x:f>
      </x:c>
      <x:c r="AA3"/>
    </x:row>
    <x:row r="4">
      <x:c r="A4" s="13" t="str">
        <x:v>T01</x:v>
      </x:c>
      <x:c r="B4" s="13" t="str"/>
      <x:c r="C4" s="13" t="str">
        <x:v>L03</x:v>
      </x:c>
      <x:c r="D4" s="13" t="str">
        <x:v>01</x:v>
      </x:c>
      <x:c r="E4" s="13" t="n">
        <x:v>1</x:v>
      </x:c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  <x:c r="R4" s="13" t="str"/>
      <x:c r="S4" s="13" t="str"/>
      <x:c r="T4" s="13" t="str"/>
      <x:c r="U4" s="13" t="str"/>
      <x:c r="V4" s="13" t="str"/>
      <x:c r="W4" s="13" t="n">
        <x:v>75</x:v>
      </x:c>
      <x:c r="X4" s="13" t="str">
        <x:f>IF(H4="","",H4-V4)</x:f>
      </x:c>
      <x:c r="Y4" s="13" t="str">
        <x:f>IF(R4="","",IF(OR(R4="Y",R4="Yes",R4="1"),"OK","NO"))</x:f>
      </x:c>
      <x:c r="Z4" s="13" t="str">
        <x:f>IF(S4="","",IF(OR(S4="Y",S4="Yes",S4="1"),"OK","NO"))</x:f>
      </x:c>
      <x:c r="AA4"/>
    </x:row>
    <x:row r="5">
      <x:c r="A5" s="13" t="str">
        <x:v>T01</x:v>
      </x:c>
      <x:c r="B5" s="13" t="str"/>
      <x:c r="C5" s="13" t="str">
        <x:v>L04</x:v>
      </x:c>
      <x:c r="D5" s="13" t="str">
        <x:v>01</x:v>
      </x:c>
      <x:c r="E5" s="13" t="n">
        <x:v>1</x:v>
      </x:c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3" t="str"/>
      <x:c r="S5" s="13" t="str"/>
      <x:c r="T5" s="13" t="str"/>
      <x:c r="U5" s="13" t="str"/>
      <x:c r="V5" s="13" t="str"/>
      <x:c r="W5" s="13" t="n">
        <x:v>80</x:v>
      </x:c>
      <x:c r="X5" s="13" t="str">
        <x:f>IF(H5="","",H5-V5)</x:f>
      </x:c>
      <x:c r="Y5" s="13" t="str">
        <x:f>IF(R5="","",IF(OR(R5="Y",R5="Yes",R5="1"),"OK","NO"))</x:f>
      </x:c>
      <x:c r="Z5" s="13" t="str">
        <x:f>IF(S5="","",IF(OR(S5="Y",S5="Yes",S5="1"),"OK","NO"))</x:f>
      </x:c>
      <x:c r="AA5"/>
    </x:row>
    <x:row r="6">
      <x:c r="A6" s="13" t="str">
        <x:v>T01</x:v>
      </x:c>
      <x:c r="B6" s="13" t="str"/>
      <x:c r="C6" s="13" t="str">
        <x:v>L05</x:v>
      </x:c>
      <x:c r="D6" s="13" t="str">
        <x:v>02</x:v>
      </x:c>
      <x:c r="E6" s="13" t="n">
        <x:v>1</x:v>
      </x:c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3" t="str"/>
      <x:c r="S6" s="13" t="str"/>
      <x:c r="T6" s="13" t="str"/>
      <x:c r="U6" s="13" t="str"/>
      <x:c r="V6" s="13" t="str"/>
      <x:c r="W6" s="13" t="n">
        <x:v>90</x:v>
      </x:c>
      <x:c r="X6" s="13" t="str">
        <x:f>IF(H6="","",H6-V6)</x:f>
      </x:c>
      <x:c r="Y6" s="13" t="str">
        <x:f>IF(R6="","",IF(OR(R6="Y",R6="Yes",R6="1"),"OK","NO"))</x:f>
      </x:c>
      <x:c r="Z6" s="13" t="str">
        <x:f>IF(S6="","",IF(OR(S6="Y",S6="Yes",S6="1"),"OK","NO"))</x:f>
      </x:c>
      <x:c r="AA6"/>
    </x:row>
    <x:row r="7">
      <x:c r="A7" s="13" t="str">
        <x:v>T01</x:v>
      </x:c>
      <x:c r="B7" s="13" t="str"/>
      <x:c r="C7" s="13" t="str">
        <x:v>L06</x:v>
      </x:c>
      <x:c r="D7" s="13" t="str">
        <x:v>02</x:v>
      </x:c>
      <x:c r="E7" s="13" t="n">
        <x:v>1</x:v>
      </x:c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3" t="str"/>
      <x:c r="S7" s="13" t="str"/>
      <x:c r="T7" s="13" t="str"/>
      <x:c r="U7" s="13" t="str"/>
      <x:c r="V7" s="13" t="str"/>
      <x:c r="W7" s="13" t="n">
        <x:v>100</x:v>
      </x:c>
      <x:c r="X7" s="13" t="str">
        <x:f>IF(H7="","",H7-V7)</x:f>
      </x:c>
      <x:c r="Y7" s="13" t="str">
        <x:f>IF(R7="","",IF(OR(R7="Y",R7="Yes",R7="1"),"OK","NO"))</x:f>
      </x:c>
      <x:c r="Z7" s="13" t="str">
        <x:f>IF(S7="","",IF(OR(S7="Y",S7="Yes",S7="1"),"OK","NO"))</x:f>
      </x:c>
      <x:c r="AA7"/>
    </x:row>
    <x:row r="8">
      <x:c r="A8" s="13" t="str">
        <x:v>T01</x:v>
      </x:c>
      <x:c r="B8" s="13" t="str"/>
      <x:c r="C8" s="13" t="str">
        <x:v>L07</x:v>
      </x:c>
      <x:c r="D8" s="13" t="str">
        <x:v>02</x:v>
      </x:c>
      <x:c r="E8" s="13" t="n">
        <x:v>1</x:v>
      </x:c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3" t="str"/>
      <x:c r="S8" s="13" t="str"/>
      <x:c r="T8" s="13" t="str"/>
      <x:c r="U8" s="13" t="str"/>
      <x:c r="V8" s="13" t="str"/>
      <x:c r="W8" s="13" t="n">
        <x:v>115</x:v>
      </x:c>
      <x:c r="X8" s="13" t="str">
        <x:f>IF(H8="","",H8-V8)</x:f>
      </x:c>
      <x:c r="Y8" s="13" t="str">
        <x:f>IF(R8="","",IF(OR(R8="Y",R8="Yes",R8="1"),"OK","NO"))</x:f>
      </x:c>
      <x:c r="Z8" s="13" t="str">
        <x:f>IF(S8="","",IF(OR(S8="Y",S8="Yes",S8="1"),"OK","NO"))</x:f>
      </x:c>
      <x:c r="AA8"/>
    </x:row>
    <x:row r="9">
      <x:c r="A9" s="13" t="str">
        <x:v>T01</x:v>
      </x:c>
      <x:c r="B9" s="13" t="str"/>
      <x:c r="C9" s="13" t="str">
        <x:v>L08</x:v>
      </x:c>
      <x:c r="D9" s="13" t="str">
        <x:v>02</x:v>
      </x:c>
      <x:c r="E9" s="13" t="n">
        <x:v>1</x:v>
      </x:c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3" t="str"/>
      <x:c r="S9" s="13" t="str"/>
      <x:c r="T9" s="13" t="str"/>
      <x:c r="U9" s="13" t="str"/>
      <x:c r="V9" s="13" t="str"/>
      <x:c r="W9" s="13" t="n">
        <x:v>130</x:v>
      </x:c>
      <x:c r="X9" s="13" t="str">
        <x:f>IF(H9="","",H9-V9)</x:f>
      </x:c>
      <x:c r="Y9" s="13" t="str">
        <x:f>IF(R9="","",IF(OR(R9="Y",R9="Yes",R9="1"),"OK","NO"))</x:f>
      </x:c>
      <x:c r="Z9" s="13" t="str">
        <x:f>IF(S9="","",IF(OR(S9="Y",S9="Yes",S9="1"),"OK","NO"))</x:f>
      </x:c>
      <x:c r="AA9"/>
    </x:row>
    <x:row r="10">
      <x:c r="A10" s="13" t="str">
        <x:v>T01</x:v>
      </x:c>
      <x:c r="B10" s="13" t="str"/>
      <x:c r="C10" s="13" t="str">
        <x:v>L09</x:v>
      </x:c>
      <x:c r="D10" s="13" t="str">
        <x:v>03</x:v>
      </x:c>
      <x:c r="E10" s="13" t="n">
        <x:v>1</x:v>
      </x:c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3" t="str"/>
      <x:c r="S10" s="13" t="str"/>
      <x:c r="T10" s="13" t="str"/>
      <x:c r="U10" s="13" t="str"/>
      <x:c r="V10" s="13" t="str"/>
      <x:c r="W10" s="13" t="n">
        <x:v>110</x:v>
      </x:c>
      <x:c r="X10" s="13" t="str">
        <x:f>IF(H10="","",H10-V10)</x:f>
      </x:c>
      <x:c r="Y10" s="13" t="str">
        <x:f>IF(R10="","",IF(OR(R10="Y",R10="Yes",R10="1"),"OK","NO"))</x:f>
      </x:c>
      <x:c r="Z10" s="13" t="str">
        <x:f>IF(S10="","",IF(OR(S10="Y",S10="Yes",S10="1"),"OK","NO"))</x:f>
      </x:c>
      <x:c r="AA10"/>
    </x:row>
    <x:row r="11">
      <x:c r="A11" s="13" t="str">
        <x:v>T01</x:v>
      </x:c>
      <x:c r="B11" s="13" t="str"/>
      <x:c r="C11" s="13" t="str">
        <x:v>L10</x:v>
      </x:c>
      <x:c r="D11" s="13" t="str">
        <x:v>03</x:v>
      </x:c>
      <x:c r="E11" s="13" t="n">
        <x:v>1</x:v>
      </x:c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3" t="str"/>
      <x:c r="S11" s="13" t="str"/>
      <x:c r="T11" s="13" t="str"/>
      <x:c r="U11" s="13" t="str"/>
      <x:c r="V11" s="13" t="str"/>
      <x:c r="W11" s="13" t="n">
        <x:v>125</x:v>
      </x:c>
      <x:c r="X11" s="13" t="str">
        <x:f>IF(H11="","",H11-V11)</x:f>
      </x:c>
      <x:c r="Y11" s="13" t="str">
        <x:f>IF(R11="","",IF(OR(R11="Y",R11="Yes",R11="1"),"OK","NO"))</x:f>
      </x:c>
      <x:c r="Z11" s="13" t="str">
        <x:f>IF(S11="","",IF(OR(S11="Y",S11="Yes",S11="1"),"OK","NO"))</x:f>
      </x:c>
      <x:c r="AA11"/>
    </x:row>
    <x:row r="12">
      <x:c r="A12" s="13" t="str">
        <x:v>T01</x:v>
      </x:c>
      <x:c r="B12" s="13" t="str"/>
      <x:c r="C12" s="13" t="str">
        <x:v>L11</x:v>
      </x:c>
      <x:c r="D12" s="13" t="str">
        <x:v>03</x:v>
      </x:c>
      <x:c r="E12" s="13" t="n">
        <x:v>1</x:v>
      </x:c>
      <x:c r="F12" s="13" t="str"/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3" t="str"/>
      <x:c r="S12" s="13" t="str"/>
      <x:c r="T12" s="13" t="str"/>
      <x:c r="U12" s="13" t="str"/>
      <x:c r="V12" s="13" t="str"/>
      <x:c r="W12" s="13" t="n">
        <x:v>150</x:v>
      </x:c>
      <x:c r="X12" s="13" t="str">
        <x:f>IF(H12="","",H12-V12)</x:f>
      </x:c>
      <x:c r="Y12" s="13" t="str">
        <x:f>IF(R12="","",IF(OR(R12="Y",R12="Yes",R12="1"),"OK","NO"))</x:f>
      </x:c>
      <x:c r="Z12" s="13" t="str">
        <x:f>IF(S12="","",IF(OR(S12="Y",S12="Yes",S12="1"),"OK","NO"))</x:f>
      </x:c>
      <x:c r="AA12"/>
    </x:row>
    <x:row r="13">
      <x:c r="A13" s="13" t="str">
        <x:v>T01</x:v>
      </x:c>
      <x:c r="B13" s="13" t="str"/>
      <x:c r="C13" s="13" t="str">
        <x:v>L12</x:v>
      </x:c>
      <x:c r="D13" s="13" t="str">
        <x:v>03</x:v>
      </x:c>
      <x:c r="E13" s="13" t="n">
        <x:v>1</x:v>
      </x:c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3" t="str"/>
      <x:c r="S13" s="13" t="str"/>
      <x:c r="T13" s="13" t="str"/>
      <x:c r="U13" s="13" t="str"/>
      <x:c r="V13" s="13" t="str"/>
      <x:c r="W13" s="13" t="n">
        <x:v>180</x:v>
      </x:c>
      <x:c r="X13" s="13" t="str">
        <x:f>IF(H13="","",H13-V13)</x:f>
      </x:c>
      <x:c r="Y13" s="13" t="str">
        <x:f>IF(R13="","",IF(OR(R13="Y",R13="Yes",R13="1"),"OK","NO"))</x:f>
      </x:c>
      <x:c r="Z13" s="13" t="str">
        <x:f>IF(S13="","",IF(OR(S13="Y",S13="Yes",S13="1"),"OK","NO"))</x:f>
      </x:c>
      <x:c r="AA13"/>
    </x:row>
    <x:row r="14">
      <x:c r="A14" s="13" t="str">
        <x:v>T02</x:v>
      </x:c>
      <x:c r="B14" s="13" t="str"/>
      <x:c r="C14" s="13" t="str">
        <x:v>L01</x:v>
      </x:c>
      <x:c r="D14" s="13" t="str">
        <x:v>01</x:v>
      </x:c>
      <x:c r="E14" s="13" t="n">
        <x:v>1</x:v>
      </x:c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3" t="str"/>
      <x:c r="S14" s="13" t="str"/>
      <x:c r="T14" s="13" t="str"/>
      <x:c r="U14" s="13" t="str"/>
      <x:c r="V14" s="13" t="str"/>
      <x:c r="W14" s="13" t="n">
        <x:v>70</x:v>
      </x:c>
      <x:c r="X14" s="13" t="str">
        <x:f>IF(H14="","",H14-V14)</x:f>
      </x:c>
      <x:c r="Y14" s="13" t="str">
        <x:f>IF(R14="","",IF(OR(R14="Y",R14="Yes",R14="1"),"OK","NO"))</x:f>
      </x:c>
      <x:c r="Z14" s="13" t="str">
        <x:f>IF(S14="","",IF(OR(S14="Y",S14="Yes",S14="1"),"OK","NO"))</x:f>
      </x:c>
      <x:c r="AA14"/>
    </x:row>
    <x:row r="15">
      <x:c r="A15" s="13" t="str">
        <x:v>T02</x:v>
      </x:c>
      <x:c r="B15" s="13" t="str"/>
      <x:c r="C15" s="13" t="str">
        <x:v>L02</x:v>
      </x:c>
      <x:c r="D15" s="13" t="str">
        <x:v>01</x:v>
      </x:c>
      <x:c r="E15" s="13" t="n">
        <x:v>1</x:v>
      </x:c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3" t="str"/>
      <x:c r="S15" s="13" t="str"/>
      <x:c r="T15" s="13" t="str"/>
      <x:c r="U15" s="13" t="str"/>
      <x:c r="V15" s="13" t="str"/>
      <x:c r="W15" s="13" t="n">
        <x:v>65</x:v>
      </x:c>
      <x:c r="X15" s="13" t="str">
        <x:f>IF(H15="","",H15-V15)</x:f>
      </x:c>
      <x:c r="Y15" s="13" t="str">
        <x:f>IF(R15="","",IF(OR(R15="Y",R15="Yes",R15="1"),"OK","NO"))</x:f>
      </x:c>
      <x:c r="Z15" s="13" t="str">
        <x:f>IF(S15="","",IF(OR(S15="Y",S15="Yes",S15="1"),"OK","NO"))</x:f>
      </x:c>
      <x:c r="AA15"/>
    </x:row>
    <x:row r="16">
      <x:c r="A16" s="13" t="str">
        <x:v>T02</x:v>
      </x:c>
      <x:c r="B16" s="13" t="str"/>
      <x:c r="C16" s="13" t="str">
        <x:v>L03</x:v>
      </x:c>
      <x:c r="D16" s="13" t="str">
        <x:v>01</x:v>
      </x:c>
      <x:c r="E16" s="13" t="n">
        <x:v>1</x:v>
      </x:c>
      <x:c r="F16" s="13" t="str"/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3" t="str"/>
      <x:c r="S16" s="13" t="str"/>
      <x:c r="T16" s="13" t="str"/>
      <x:c r="U16" s="13" t="str"/>
      <x:c r="V16" s="13" t="str"/>
      <x:c r="W16" s="13" t="n">
        <x:v>75</x:v>
      </x:c>
      <x:c r="X16" s="13" t="str">
        <x:f>IF(H16="","",H16-V16)</x:f>
      </x:c>
      <x:c r="Y16" s="13" t="str">
        <x:f>IF(R16="","",IF(OR(R16="Y",R16="Yes",R16="1"),"OK","NO"))</x:f>
      </x:c>
      <x:c r="Z16" s="13" t="str">
        <x:f>IF(S16="","",IF(OR(S16="Y",S16="Yes",S16="1"),"OK","NO"))</x:f>
      </x:c>
      <x:c r="AA16"/>
    </x:row>
    <x:row r="17">
      <x:c r="A17" s="13" t="str">
        <x:v>T02</x:v>
      </x:c>
      <x:c r="B17" s="13" t="str"/>
      <x:c r="C17" s="13" t="str">
        <x:v>L04</x:v>
      </x:c>
      <x:c r="D17" s="13" t="str">
        <x:v>01</x:v>
      </x:c>
      <x:c r="E17" s="13" t="n">
        <x:v>1</x:v>
      </x:c>
      <x:c r="F17" s="13" t="str"/>
      <x:c r="G17" s="13" t="str"/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3" t="str"/>
      <x:c r="S17" s="13" t="str"/>
      <x:c r="T17" s="13" t="str"/>
      <x:c r="U17" s="13" t="str"/>
      <x:c r="V17" s="13" t="str"/>
      <x:c r="W17" s="13" t="n">
        <x:v>80</x:v>
      </x:c>
      <x:c r="X17" s="13" t="str">
        <x:f>IF(H17="","",H17-V17)</x:f>
      </x:c>
      <x:c r="Y17" s="13" t="str">
        <x:f>IF(R17="","",IF(OR(R17="Y",R17="Yes",R17="1"),"OK","NO"))</x:f>
      </x:c>
      <x:c r="Z17" s="13" t="str">
        <x:f>IF(S17="","",IF(OR(S17="Y",S17="Yes",S17="1"),"OK","NO"))</x:f>
      </x:c>
      <x:c r="AA17"/>
    </x:row>
    <x:row r="18">
      <x:c r="A18" s="13" t="str">
        <x:v>T02</x:v>
      </x:c>
      <x:c r="B18" s="13" t="str"/>
      <x:c r="C18" s="13" t="str">
        <x:v>L05</x:v>
      </x:c>
      <x:c r="D18" s="13" t="str">
        <x:v>02</x:v>
      </x:c>
      <x:c r="E18" s="13" t="n">
        <x:v>1</x:v>
      </x:c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13" t="str"/>
      <x:c r="R18" s="13" t="str"/>
      <x:c r="S18" s="13" t="str"/>
      <x:c r="T18" s="13" t="str"/>
      <x:c r="U18" s="13" t="str"/>
      <x:c r="V18" s="13" t="str"/>
      <x:c r="W18" s="13" t="n">
        <x:v>90</x:v>
      </x:c>
      <x:c r="X18" s="13" t="str">
        <x:f>IF(H18="","",H18-V18)</x:f>
      </x:c>
      <x:c r="Y18" s="13" t="str">
        <x:f>IF(R18="","",IF(OR(R18="Y",R18="Yes",R18="1"),"OK","NO"))</x:f>
      </x:c>
      <x:c r="Z18" s="13" t="str">
        <x:f>IF(S18="","",IF(OR(S18="Y",S18="Yes",S18="1"),"OK","NO"))</x:f>
      </x:c>
      <x:c r="AA18"/>
    </x:row>
    <x:row r="19">
      <x:c r="A19" s="13" t="str">
        <x:v>T02</x:v>
      </x:c>
      <x:c r="B19" s="13" t="str"/>
      <x:c r="C19" s="13" t="str">
        <x:v>L06</x:v>
      </x:c>
      <x:c r="D19" s="13" t="str">
        <x:v>02</x:v>
      </x:c>
      <x:c r="E19" s="13" t="n">
        <x:v>1</x:v>
      </x:c>
      <x:c r="F19" s="13" t="str"/>
      <x:c r="G19" s="13" t="str"/>
      <x:c r="H19" s="13" t="str"/>
      <x:c r="I19" s="13" t="str"/>
      <x:c r="J19" s="13" t="str"/>
      <x:c r="K19" s="13" t="str"/>
      <x:c r="L19" s="13" t="str"/>
      <x:c r="M19" s="13" t="str"/>
      <x:c r="N19" s="13" t="str"/>
      <x:c r="O19" s="13" t="str"/>
      <x:c r="P19" s="13" t="str"/>
      <x:c r="Q19" s="13" t="str"/>
      <x:c r="R19" s="13" t="str"/>
      <x:c r="S19" s="13" t="str"/>
      <x:c r="T19" s="13" t="str"/>
      <x:c r="U19" s="13" t="str"/>
      <x:c r="V19" s="13" t="str"/>
      <x:c r="W19" s="13" t="n">
        <x:v>100</x:v>
      </x:c>
      <x:c r="X19" s="13" t="str">
        <x:f>IF(H19="","",H19-V19)</x:f>
      </x:c>
      <x:c r="Y19" s="13" t="str">
        <x:f>IF(R19="","",IF(OR(R19="Y",R19="Yes",R19="1"),"OK","NO"))</x:f>
      </x:c>
      <x:c r="Z19" s="13" t="str">
        <x:f>IF(S19="","",IF(OR(S19="Y",S19="Yes",S19="1"),"OK","NO"))</x:f>
      </x:c>
      <x:c r="AA19"/>
    </x:row>
    <x:row r="20">
      <x:c r="A20" s="13" t="str">
        <x:v>T02</x:v>
      </x:c>
      <x:c r="B20" s="13" t="str"/>
      <x:c r="C20" s="13" t="str">
        <x:v>L07</x:v>
      </x:c>
      <x:c r="D20" s="13" t="str">
        <x:v>02</x:v>
      </x:c>
      <x:c r="E20" s="13" t="n">
        <x:v>1</x:v>
      </x:c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3" t="str"/>
      <x:c r="S20" s="13" t="str"/>
      <x:c r="T20" s="13" t="str"/>
      <x:c r="U20" s="13" t="str"/>
      <x:c r="V20" s="13" t="str"/>
      <x:c r="W20" s="13" t="n">
        <x:v>115</x:v>
      </x:c>
      <x:c r="X20" s="13" t="str">
        <x:f>IF(H20="","",H20-V20)</x:f>
      </x:c>
      <x:c r="Y20" s="13" t="str">
        <x:f>IF(R20="","",IF(OR(R20="Y",R20="Yes",R20="1"),"OK","NO"))</x:f>
      </x:c>
      <x:c r="Z20" s="13" t="str">
        <x:f>IF(S20="","",IF(OR(S20="Y",S20="Yes",S20="1"),"OK","NO"))</x:f>
      </x:c>
      <x:c r="AA20"/>
    </x:row>
    <x:row r="21">
      <x:c r="A21" s="13" t="str">
        <x:v>T02</x:v>
      </x:c>
      <x:c r="B21" s="13" t="str"/>
      <x:c r="C21" s="13" t="str">
        <x:v>L08</x:v>
      </x:c>
      <x:c r="D21" s="13" t="str">
        <x:v>02</x:v>
      </x:c>
      <x:c r="E21" s="13" t="n">
        <x:v>1</x:v>
      </x:c>
      <x:c r="F21" s="13" t="str"/>
      <x:c r="G21" s="13" t="str"/>
      <x:c r="H21" s="13" t="str"/>
      <x:c r="I21" s="13" t="str"/>
      <x:c r="J21" s="13" t="str"/>
      <x:c r="K21" s="13" t="str"/>
      <x:c r="L21" s="13" t="str"/>
      <x:c r="M21" s="13" t="str"/>
      <x:c r="N21" s="13" t="str"/>
      <x:c r="O21" s="13" t="str"/>
      <x:c r="P21" s="13" t="str"/>
      <x:c r="Q21" s="13" t="str"/>
      <x:c r="R21" s="13" t="str"/>
      <x:c r="S21" s="13" t="str"/>
      <x:c r="T21" s="13" t="str"/>
      <x:c r="U21" s="13" t="str"/>
      <x:c r="V21" s="13" t="str"/>
      <x:c r="W21" s="13" t="n">
        <x:v>130</x:v>
      </x:c>
      <x:c r="X21" s="13" t="str">
        <x:f>IF(H21="","",H21-V21)</x:f>
      </x:c>
      <x:c r="Y21" s="13" t="str">
        <x:f>IF(R21="","",IF(OR(R21="Y",R21="Yes",R21="1"),"OK","NO"))</x:f>
      </x:c>
      <x:c r="Z21" s="13" t="str">
        <x:f>IF(S21="","",IF(OR(S21="Y",S21="Yes",S21="1"),"OK","NO"))</x:f>
      </x:c>
      <x:c r="AA21"/>
    </x:row>
    <x:row r="22">
      <x:c r="A22" s="13" t="str">
        <x:v>T02</x:v>
      </x:c>
      <x:c r="B22" s="13" t="str"/>
      <x:c r="C22" s="13" t="str">
        <x:v>L09</x:v>
      </x:c>
      <x:c r="D22" s="13" t="str">
        <x:v>03</x:v>
      </x:c>
      <x:c r="E22" s="13" t="n">
        <x:v>1</x:v>
      </x:c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3" t="str"/>
      <x:c r="S22" s="13" t="str"/>
      <x:c r="T22" s="13" t="str"/>
      <x:c r="U22" s="13" t="str"/>
      <x:c r="V22" s="13" t="str"/>
      <x:c r="W22" s="13" t="n">
        <x:v>110</x:v>
      </x:c>
      <x:c r="X22" s="13" t="str">
        <x:f>IF(H22="","",H22-V22)</x:f>
      </x:c>
      <x:c r="Y22" s="13" t="str">
        <x:f>IF(R22="","",IF(OR(R22="Y",R22="Yes",R22="1"),"OK","NO"))</x:f>
      </x:c>
      <x:c r="Z22" s="13" t="str">
        <x:f>IF(S22="","",IF(OR(S22="Y",S22="Yes",S22="1"),"OK","NO"))</x:f>
      </x:c>
      <x:c r="AA22"/>
    </x:row>
    <x:row r="23">
      <x:c r="A23" s="13" t="str">
        <x:v>T02</x:v>
      </x:c>
      <x:c r="B23" s="13" t="str"/>
      <x:c r="C23" s="13" t="str">
        <x:v>L10</x:v>
      </x:c>
      <x:c r="D23" s="13" t="str">
        <x:v>03</x:v>
      </x:c>
      <x:c r="E23" s="13" t="n">
        <x:v>1</x:v>
      </x:c>
      <x:c r="F23" s="13" t="str"/>
      <x:c r="G23" s="13" t="str"/>
      <x:c r="H23" s="13" t="str"/>
      <x:c r="I23" s="13" t="str"/>
      <x:c r="J23" s="13" t="str"/>
      <x:c r="K23" s="13" t="str"/>
      <x:c r="L23" s="13" t="str"/>
      <x:c r="M23" s="13" t="str"/>
      <x:c r="N23" s="13" t="str"/>
      <x:c r="O23" s="13" t="str"/>
      <x:c r="P23" s="13" t="str"/>
      <x:c r="Q23" s="13" t="str"/>
      <x:c r="R23" s="13" t="str"/>
      <x:c r="S23" s="13" t="str"/>
      <x:c r="T23" s="13" t="str"/>
      <x:c r="U23" s="13" t="str"/>
      <x:c r="V23" s="13" t="str"/>
      <x:c r="W23" s="13" t="n">
        <x:v>125</x:v>
      </x:c>
      <x:c r="X23" s="13" t="str">
        <x:f>IF(H23="","",H23-V23)</x:f>
      </x:c>
      <x:c r="Y23" s="13" t="str">
        <x:f>IF(R23="","",IF(OR(R23="Y",R23="Yes",R23="1"),"OK","NO"))</x:f>
      </x:c>
      <x:c r="Z23" s="13" t="str">
        <x:f>IF(S23="","",IF(OR(S23="Y",S23="Yes",S23="1"),"OK","NO"))</x:f>
      </x:c>
      <x:c r="AA23"/>
    </x:row>
    <x:row r="24">
      <x:c r="A24" s="13" t="str">
        <x:v>T02</x:v>
      </x:c>
      <x:c r="B24" s="13" t="str"/>
      <x:c r="C24" s="13" t="str">
        <x:v>L11</x:v>
      </x:c>
      <x:c r="D24" s="13" t="str">
        <x:v>03</x:v>
      </x:c>
      <x:c r="E24" s="13" t="n">
        <x:v>1</x:v>
      </x:c>
      <x:c r="F24" s="13" t="str"/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3" t="str"/>
      <x:c r="S24" s="13" t="str"/>
      <x:c r="T24" s="13" t="str"/>
      <x:c r="U24" s="13" t="str"/>
      <x:c r="V24" s="13" t="str"/>
      <x:c r="W24" s="13" t="n">
        <x:v>150</x:v>
      </x:c>
      <x:c r="X24" s="13" t="str">
        <x:f>IF(H24="","",H24-V24)</x:f>
      </x:c>
      <x:c r="Y24" s="13" t="str">
        <x:f>IF(R24="","",IF(OR(R24="Y",R24="Yes",R24="1"),"OK","NO"))</x:f>
      </x:c>
      <x:c r="Z24" s="13" t="str">
        <x:f>IF(S24="","",IF(OR(S24="Y",S24="Yes",S24="1"),"OK","NO"))</x:f>
      </x:c>
      <x:c r="AA24"/>
    </x:row>
    <x:row r="25">
      <x:c r="A25" s="13" t="str">
        <x:v>T02</x:v>
      </x:c>
      <x:c r="B25" s="13" t="str"/>
      <x:c r="C25" s="13" t="str">
        <x:v>L12</x:v>
      </x:c>
      <x:c r="D25" s="13" t="str">
        <x:v>03</x:v>
      </x:c>
      <x:c r="E25" s="13" t="n">
        <x:v>1</x:v>
      </x:c>
      <x:c r="F25" s="13" t="str"/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/>
      <x:c r="O25" s="13" t="str"/>
      <x:c r="P25" s="13" t="str"/>
      <x:c r="Q25" s="13" t="str"/>
      <x:c r="R25" s="13" t="str"/>
      <x:c r="S25" s="13" t="str"/>
      <x:c r="T25" s="13" t="str"/>
      <x:c r="U25" s="13" t="str"/>
      <x:c r="V25" s="13" t="str"/>
      <x:c r="W25" s="13" t="n">
        <x:v>180</x:v>
      </x:c>
      <x:c r="X25" s="13" t="str">
        <x:f>IF(H25="","",H25-V25)</x:f>
      </x:c>
      <x:c r="Y25" s="13" t="str">
        <x:f>IF(R25="","",IF(OR(R25="Y",R25="Yes",R25="1"),"OK","NO"))</x:f>
      </x:c>
      <x:c r="Z25" s="13" t="str">
        <x:f>IF(S25="","",IF(OR(S25="Y",S25="Yes",S25="1"),"OK","NO"))</x:f>
      </x:c>
      <x:c r="AA25"/>
    </x:row>
    <x:row r="26">
      <x:c r="A26" s="13" t="str">
        <x:v>T03</x:v>
      </x:c>
      <x:c r="B26" s="13" t="str"/>
      <x:c r="C26" s="13" t="str">
        <x:v>L01</x:v>
      </x:c>
      <x:c r="D26" s="13" t="str">
        <x:v>01</x:v>
      </x:c>
      <x:c r="E26" s="13" t="n">
        <x:v>1</x:v>
      </x:c>
      <x:c r="F26" s="13" t="str"/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3" t="str"/>
      <x:c r="S26" s="13" t="str"/>
      <x:c r="T26" s="13" t="str"/>
      <x:c r="U26" s="13" t="str"/>
      <x:c r="V26" s="13" t="str"/>
      <x:c r="W26" s="13" t="n">
        <x:v>70</x:v>
      </x:c>
      <x:c r="X26" s="13" t="str">
        <x:f>IF(H26="","",H26-V26)</x:f>
      </x:c>
      <x:c r="Y26" s="13" t="str">
        <x:f>IF(R26="","",IF(OR(R26="Y",R26="Yes",R26="1"),"OK","NO"))</x:f>
      </x:c>
      <x:c r="Z26" s="13" t="str">
        <x:f>IF(S26="","",IF(OR(S26="Y",S26="Yes",S26="1"),"OK","NO"))</x:f>
      </x:c>
      <x:c r="AA26"/>
    </x:row>
    <x:row r="27">
      <x:c r="A27" s="13" t="str">
        <x:v>T03</x:v>
      </x:c>
      <x:c r="B27" s="13" t="str"/>
      <x:c r="C27" s="13" t="str">
        <x:v>L02</x:v>
      </x:c>
      <x:c r="D27" s="13" t="str">
        <x:v>01</x:v>
      </x:c>
      <x:c r="E27" s="13" t="n">
        <x:v>1</x:v>
      </x:c>
      <x:c r="F27" s="13" t="str"/>
      <x:c r="G27" s="13" t="str"/>
      <x:c r="H27" s="13" t="str"/>
      <x:c r="I27" s="13" t="str"/>
      <x:c r="J27" s="13" t="str"/>
      <x:c r="K27" s="13" t="str"/>
      <x:c r="L27" s="13" t="str"/>
      <x:c r="M27" s="13" t="str"/>
      <x:c r="N27" s="13" t="str"/>
      <x:c r="O27" s="13" t="str"/>
      <x:c r="P27" s="13" t="str"/>
      <x:c r="Q27" s="13" t="str"/>
      <x:c r="R27" s="13" t="str"/>
      <x:c r="S27" s="13" t="str"/>
      <x:c r="T27" s="13" t="str"/>
      <x:c r="U27" s="13" t="str"/>
      <x:c r="V27" s="13" t="str"/>
      <x:c r="W27" s="13" t="n">
        <x:v>65</x:v>
      </x:c>
      <x:c r="X27" s="13" t="str">
        <x:f>IF(H27="","",H27-V27)</x:f>
      </x:c>
      <x:c r="Y27" s="13" t="str">
        <x:f>IF(R27="","",IF(OR(R27="Y",R27="Yes",R27="1"),"OK","NO"))</x:f>
      </x:c>
      <x:c r="Z27" s="13" t="str">
        <x:f>IF(S27="","",IF(OR(S27="Y",S27="Yes",S27="1"),"OK","NO"))</x:f>
      </x:c>
      <x:c r="AA27"/>
    </x:row>
    <x:row r="28">
      <x:c r="A28" s="13" t="str">
        <x:v>T03</x:v>
      </x:c>
      <x:c r="B28" s="13" t="str"/>
      <x:c r="C28" s="13" t="str">
        <x:v>L03</x:v>
      </x:c>
      <x:c r="D28" s="13" t="str">
        <x:v>01</x:v>
      </x:c>
      <x:c r="E28" s="13" t="n">
        <x:v>1</x:v>
      </x:c>
      <x:c r="F28" s="13" t="str"/>
      <x:c r="G28" s="13" t="str"/>
      <x:c r="H28" s="13" t="str"/>
      <x:c r="I28" s="13" t="str"/>
      <x:c r="J28" s="13" t="str"/>
      <x:c r="K28" s="13" t="str"/>
      <x:c r="L28" s="13" t="str"/>
      <x:c r="M28" s="13" t="str"/>
      <x:c r="N28" s="13" t="str"/>
      <x:c r="O28" s="13" t="str"/>
      <x:c r="P28" s="13" t="str"/>
      <x:c r="Q28" s="13" t="str"/>
      <x:c r="R28" s="13" t="str"/>
      <x:c r="S28" s="13" t="str"/>
      <x:c r="T28" s="13" t="str"/>
      <x:c r="U28" s="13" t="str"/>
      <x:c r="V28" s="13" t="str"/>
      <x:c r="W28" s="13" t="n">
        <x:v>75</x:v>
      </x:c>
      <x:c r="X28" s="13" t="str">
        <x:f>IF(H28="","",H28-V28)</x:f>
      </x:c>
      <x:c r="Y28" s="13" t="str">
        <x:f>IF(R28="","",IF(OR(R28="Y",R28="Yes",R28="1"),"OK","NO"))</x:f>
      </x:c>
      <x:c r="Z28" s="13" t="str">
        <x:f>IF(S28="","",IF(OR(S28="Y",S28="Yes",S28="1"),"OK","NO"))</x:f>
      </x:c>
      <x:c r="AA28"/>
    </x:row>
    <x:row r="29">
      <x:c r="A29" s="13" t="str">
        <x:v>T03</x:v>
      </x:c>
      <x:c r="B29" s="13" t="str"/>
      <x:c r="C29" s="13" t="str">
        <x:v>L04</x:v>
      </x:c>
      <x:c r="D29" s="13" t="str">
        <x:v>01</x:v>
      </x:c>
      <x:c r="E29" s="13" t="n">
        <x:v>1</x:v>
      </x:c>
      <x:c r="F29" s="13" t="str"/>
      <x:c r="G29" s="13" t="str"/>
      <x:c r="H29" s="13" t="str"/>
      <x:c r="I29" s="13" t="str"/>
      <x:c r="J29" s="13" t="str"/>
      <x:c r="K29" s="13" t="str"/>
      <x:c r="L29" s="13" t="str"/>
      <x:c r="M29" s="13" t="str"/>
      <x:c r="N29" s="13" t="str"/>
      <x:c r="O29" s="13" t="str"/>
      <x:c r="P29" s="13" t="str"/>
      <x:c r="Q29" s="13" t="str"/>
      <x:c r="R29" s="13" t="str"/>
      <x:c r="S29" s="13" t="str"/>
      <x:c r="T29" s="13" t="str"/>
      <x:c r="U29" s="13" t="str"/>
      <x:c r="V29" s="13" t="str"/>
      <x:c r="W29" s="13" t="n">
        <x:v>80</x:v>
      </x:c>
      <x:c r="X29" s="13" t="str">
        <x:f>IF(H29="","",H29-V29)</x:f>
      </x:c>
      <x:c r="Y29" s="13" t="str">
        <x:f>IF(R29="","",IF(OR(R29="Y",R29="Yes",R29="1"),"OK","NO"))</x:f>
      </x:c>
      <x:c r="Z29" s="13" t="str">
        <x:f>IF(S29="","",IF(OR(S29="Y",S29="Yes",S29="1"),"OK","NO"))</x:f>
      </x:c>
      <x:c r="AA29"/>
    </x:row>
    <x:row r="30">
      <x:c r="A30" s="13" t="str">
        <x:v>T03</x:v>
      </x:c>
      <x:c r="B30" s="13" t="str"/>
      <x:c r="C30" s="13" t="str">
        <x:v>L05</x:v>
      </x:c>
      <x:c r="D30" s="13" t="str">
        <x:v>02</x:v>
      </x:c>
      <x:c r="E30" s="13" t="n">
        <x:v>1</x:v>
      </x:c>
      <x:c r="F30" s="13" t="str"/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/>
      <x:c r="O30" s="13" t="str"/>
      <x:c r="P30" s="13" t="str"/>
      <x:c r="Q30" s="13" t="str"/>
      <x:c r="R30" s="13" t="str"/>
      <x:c r="S30" s="13" t="str"/>
      <x:c r="T30" s="13" t="str"/>
      <x:c r="U30" s="13" t="str"/>
      <x:c r="V30" s="13" t="str"/>
      <x:c r="W30" s="13" t="n">
        <x:v>90</x:v>
      </x:c>
      <x:c r="X30" s="13" t="str">
        <x:f>IF(H30="","",H30-V30)</x:f>
      </x:c>
      <x:c r="Y30" s="13" t="str">
        <x:f>IF(R30="","",IF(OR(R30="Y",R30="Yes",R30="1"),"OK","NO"))</x:f>
      </x:c>
      <x:c r="Z30" s="13" t="str">
        <x:f>IF(S30="","",IF(OR(S30="Y",S30="Yes",S30="1"),"OK","NO"))</x:f>
      </x:c>
      <x:c r="AA30"/>
    </x:row>
    <x:row r="31">
      <x:c r="A31" s="13" t="str">
        <x:v>T03</x:v>
      </x:c>
      <x:c r="B31" s="13" t="str"/>
      <x:c r="C31" s="13" t="str">
        <x:v>L06</x:v>
      </x:c>
      <x:c r="D31" s="13" t="str">
        <x:v>02</x:v>
      </x:c>
      <x:c r="E31" s="13" t="n">
        <x:v>1</x:v>
      </x:c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/>
      <x:c r="O31" s="13" t="str"/>
      <x:c r="P31" s="13" t="str"/>
      <x:c r="Q31" s="13" t="str"/>
      <x:c r="R31" s="13" t="str"/>
      <x:c r="S31" s="13" t="str"/>
      <x:c r="T31" s="13" t="str"/>
      <x:c r="U31" s="13" t="str"/>
      <x:c r="V31" s="13" t="str"/>
      <x:c r="W31" s="13" t="n">
        <x:v>100</x:v>
      </x:c>
      <x:c r="X31" s="13" t="str">
        <x:f>IF(H31="","",H31-V31)</x:f>
      </x:c>
      <x:c r="Y31" s="13" t="str">
        <x:f>IF(R31="","",IF(OR(R31="Y",R31="Yes",R31="1"),"OK","NO"))</x:f>
      </x:c>
      <x:c r="Z31" s="13" t="str">
        <x:f>IF(S31="","",IF(OR(S31="Y",S31="Yes",S31="1"),"OK","NO"))</x:f>
      </x:c>
      <x:c r="AA31"/>
    </x:row>
    <x:row r="32">
      <x:c r="A32" s="13" t="str">
        <x:v>T03</x:v>
      </x:c>
      <x:c r="B32" s="13" t="str"/>
      <x:c r="C32" s="13" t="str">
        <x:v>L07</x:v>
      </x:c>
      <x:c r="D32" s="13" t="str">
        <x:v>02</x:v>
      </x:c>
      <x:c r="E32" s="13" t="n">
        <x:v>1</x:v>
      </x:c>
      <x:c r="F32" s="13" t="str"/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/>
      <x:c r="O32" s="13" t="str"/>
      <x:c r="P32" s="13" t="str"/>
      <x:c r="Q32" s="13" t="str"/>
      <x:c r="R32" s="13" t="str"/>
      <x:c r="S32" s="13" t="str"/>
      <x:c r="T32" s="13" t="str"/>
      <x:c r="U32" s="13" t="str"/>
      <x:c r="V32" s="13" t="str"/>
      <x:c r="W32" s="13" t="n">
        <x:v>115</x:v>
      </x:c>
      <x:c r="X32" s="13" t="str">
        <x:f>IF(H32="","",H32-V32)</x:f>
      </x:c>
      <x:c r="Y32" s="13" t="str">
        <x:f>IF(R32="","",IF(OR(R32="Y",R32="Yes",R32="1"),"OK","NO"))</x:f>
      </x:c>
      <x:c r="Z32" s="13" t="str">
        <x:f>IF(S32="","",IF(OR(S32="Y",S32="Yes",S32="1"),"OK","NO"))</x:f>
      </x:c>
      <x:c r="AA32"/>
    </x:row>
    <x:row r="33">
      <x:c r="A33" s="13" t="str">
        <x:v>T03</x:v>
      </x:c>
      <x:c r="B33" s="13" t="str"/>
      <x:c r="C33" s="13" t="str">
        <x:v>L08</x:v>
      </x:c>
      <x:c r="D33" s="13" t="str">
        <x:v>02</x:v>
      </x:c>
      <x:c r="E33" s="13" t="n">
        <x:v>1</x:v>
      </x:c>
      <x:c r="F33" s="13" t="str"/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/>
      <x:c r="O33" s="13" t="str"/>
      <x:c r="P33" s="13" t="str"/>
      <x:c r="Q33" s="13" t="str"/>
      <x:c r="R33" s="13" t="str"/>
      <x:c r="S33" s="13" t="str"/>
      <x:c r="T33" s="13" t="str"/>
      <x:c r="U33" s="13" t="str"/>
      <x:c r="V33" s="13" t="str"/>
      <x:c r="W33" s="13" t="n">
        <x:v>130</x:v>
      </x:c>
      <x:c r="X33" s="13" t="str">
        <x:f>IF(H33="","",H33-V33)</x:f>
      </x:c>
      <x:c r="Y33" s="13" t="str">
        <x:f>IF(R33="","",IF(OR(R33="Y",R33="Yes",R33="1"),"OK","NO"))</x:f>
      </x:c>
      <x:c r="Z33" s="13" t="str">
        <x:f>IF(S33="","",IF(OR(S33="Y",S33="Yes",S33="1"),"OK","NO"))</x:f>
      </x:c>
      <x:c r="AA33"/>
    </x:row>
    <x:row r="34">
      <x:c r="A34" s="13" t="str">
        <x:v>T03</x:v>
      </x:c>
      <x:c r="B34" s="13" t="str"/>
      <x:c r="C34" s="13" t="str">
        <x:v>L09</x:v>
      </x:c>
      <x:c r="D34" s="13" t="str">
        <x:v>03</x:v>
      </x:c>
      <x:c r="E34" s="13" t="n">
        <x:v>1</x:v>
      </x:c>
      <x:c r="F34" s="13" t="str"/>
      <x:c r="G34" s="13" t="str"/>
      <x:c r="H34" s="13" t="str"/>
      <x:c r="I34" s="13" t="str"/>
      <x:c r="J34" s="13" t="str"/>
      <x:c r="K34" s="13" t="str"/>
      <x:c r="L34" s="13" t="str"/>
      <x:c r="M34" s="13" t="str"/>
      <x:c r="N34" s="13" t="str"/>
      <x:c r="O34" s="13" t="str"/>
      <x:c r="P34" s="13" t="str"/>
      <x:c r="Q34" s="13" t="str"/>
      <x:c r="R34" s="13" t="str"/>
      <x:c r="S34" s="13" t="str"/>
      <x:c r="T34" s="13" t="str"/>
      <x:c r="U34" s="13" t="str"/>
      <x:c r="V34" s="13" t="str"/>
      <x:c r="W34" s="13" t="n">
        <x:v>110</x:v>
      </x:c>
      <x:c r="X34" s="13" t="str">
        <x:f>IF(H34="","",H34-V34)</x:f>
      </x:c>
      <x:c r="Y34" s="13" t="str">
        <x:f>IF(R34="","",IF(OR(R34="Y",R34="Yes",R34="1"),"OK","NO"))</x:f>
      </x:c>
      <x:c r="Z34" s="13" t="str">
        <x:f>IF(S34="","",IF(OR(S34="Y",S34="Yes",S34="1"),"OK","NO"))</x:f>
      </x:c>
      <x:c r="AA34"/>
    </x:row>
    <x:row r="35">
      <x:c r="A35" s="13" t="str">
        <x:v>T03</x:v>
      </x:c>
      <x:c r="B35" s="13" t="str"/>
      <x:c r="C35" s="13" t="str">
        <x:v>L10</x:v>
      </x:c>
      <x:c r="D35" s="13" t="str">
        <x:v>03</x:v>
      </x:c>
      <x:c r="E35" s="13" t="n">
        <x:v>1</x:v>
      </x:c>
      <x:c r="F35" s="13" t="str"/>
      <x:c r="G35" s="13" t="str"/>
      <x:c r="H35" s="13" t="str"/>
      <x:c r="I35" s="13" t="str"/>
      <x:c r="J35" s="13" t="str"/>
      <x:c r="K35" s="13" t="str"/>
      <x:c r="L35" s="13" t="str"/>
      <x:c r="M35" s="13" t="str"/>
      <x:c r="N35" s="13" t="str"/>
      <x:c r="O35" s="13" t="str"/>
      <x:c r="P35" s="13" t="str"/>
      <x:c r="Q35" s="13" t="str"/>
      <x:c r="R35" s="13" t="str"/>
      <x:c r="S35" s="13" t="str"/>
      <x:c r="T35" s="13" t="str"/>
      <x:c r="U35" s="13" t="str"/>
      <x:c r="V35" s="13" t="str"/>
      <x:c r="W35" s="13" t="n">
        <x:v>125</x:v>
      </x:c>
      <x:c r="X35" s="13" t="str">
        <x:f>IF(H35="","",H35-V35)</x:f>
      </x:c>
      <x:c r="Y35" s="13" t="str">
        <x:f>IF(R35="","",IF(OR(R35="Y",R35="Yes",R35="1"),"OK","NO"))</x:f>
      </x:c>
      <x:c r="Z35" s="13" t="str">
        <x:f>IF(S35="","",IF(OR(S35="Y",S35="Yes",S35="1"),"OK","NO"))</x:f>
      </x:c>
      <x:c r="AA35"/>
    </x:row>
    <x:row r="36">
      <x:c r="A36" s="13" t="str">
        <x:v>T03</x:v>
      </x:c>
      <x:c r="B36" s="13" t="str"/>
      <x:c r="C36" s="13" t="str">
        <x:v>L11</x:v>
      </x:c>
      <x:c r="D36" s="13" t="str">
        <x:v>03</x:v>
      </x:c>
      <x:c r="E36" s="13" t="n">
        <x:v>1</x:v>
      </x:c>
      <x:c r="F36" s="13" t="str"/>
      <x:c r="G36" s="13" t="str"/>
      <x:c r="H36" s="13" t="str"/>
      <x:c r="I36" s="13" t="str"/>
      <x:c r="J36" s="13" t="str"/>
      <x:c r="K36" s="13" t="str"/>
      <x:c r="L36" s="13" t="str"/>
      <x:c r="M36" s="13" t="str"/>
      <x:c r="N36" s="13" t="str"/>
      <x:c r="O36" s="13" t="str"/>
      <x:c r="P36" s="13" t="str"/>
      <x:c r="Q36" s="13" t="str"/>
      <x:c r="R36" s="13" t="str"/>
      <x:c r="S36" s="13" t="str"/>
      <x:c r="T36" s="13" t="str"/>
      <x:c r="U36" s="13" t="str"/>
      <x:c r="V36" s="13" t="str"/>
      <x:c r="W36" s="13" t="n">
        <x:v>150</x:v>
      </x:c>
      <x:c r="X36" s="13" t="str">
        <x:f>IF(H36="","",H36-V36)</x:f>
      </x:c>
      <x:c r="Y36" s="13" t="str">
        <x:f>IF(R36="","",IF(OR(R36="Y",R36="Yes",R36="1"),"OK","NO"))</x:f>
      </x:c>
      <x:c r="Z36" s="13" t="str">
        <x:f>IF(S36="","",IF(OR(S36="Y",S36="Yes",S36="1"),"OK","NO"))</x:f>
      </x:c>
      <x:c r="AA36"/>
    </x:row>
    <x:row r="37">
      <x:c r="A37" s="13" t="str">
        <x:v>T03</x:v>
      </x:c>
      <x:c r="B37" s="13" t="str"/>
      <x:c r="C37" s="13" t="str">
        <x:v>L12</x:v>
      </x:c>
      <x:c r="D37" s="13" t="str">
        <x:v>03</x:v>
      </x:c>
      <x:c r="E37" s="13" t="n">
        <x:v>1</x:v>
      </x:c>
      <x:c r="F37" s="13" t="str"/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/>
      <x:c r="O37" s="13" t="str"/>
      <x:c r="P37" s="13" t="str"/>
      <x:c r="Q37" s="13" t="str"/>
      <x:c r="R37" s="13" t="str"/>
      <x:c r="S37" s="13" t="str"/>
      <x:c r="T37" s="13" t="str"/>
      <x:c r="U37" s="13" t="str"/>
      <x:c r="V37" s="13" t="str"/>
      <x:c r="W37" s="13" t="n">
        <x:v>180</x:v>
      </x:c>
      <x:c r="X37" s="13" t="str">
        <x:f>IF(H37="","",H37-V37)</x:f>
      </x:c>
      <x:c r="Y37" s="13" t="str">
        <x:f>IF(R37="","",IF(OR(R37="Y",R37="Yes",R37="1"),"OK","NO"))</x:f>
      </x:c>
      <x:c r="Z37" s="13" t="str">
        <x:f>IF(S37="","",IF(OR(S37="Y",S37="Yes",S37="1"),"OK","NO"))</x:f>
      </x:c>
      <x:c r="AA37"/>
    </x:row>
    <x:row r="38">
      <x:c r="A38" s="13" t="str">
        <x:v>T04</x:v>
      </x:c>
      <x:c r="B38" s="13" t="str"/>
      <x:c r="C38" s="13" t="str">
        <x:v>L01</x:v>
      </x:c>
      <x:c r="D38" s="13" t="str">
        <x:v>01</x:v>
      </x:c>
      <x:c r="E38" s="13" t="n">
        <x:v>1</x:v>
      </x:c>
      <x:c r="F38" s="13" t="str"/>
      <x:c r="G38" s="13" t="str"/>
      <x:c r="H38" s="13" t="str"/>
      <x:c r="I38" s="13" t="str"/>
      <x:c r="J38" s="13" t="str"/>
      <x:c r="K38" s="13" t="str"/>
      <x:c r="L38" s="13" t="str"/>
      <x:c r="M38" s="13" t="str"/>
      <x:c r="N38" s="13" t="str"/>
      <x:c r="O38" s="13" t="str"/>
      <x:c r="P38" s="13" t="str"/>
      <x:c r="Q38" s="13" t="str"/>
      <x:c r="R38" s="13" t="str"/>
      <x:c r="S38" s="13" t="str"/>
      <x:c r="T38" s="13" t="str"/>
      <x:c r="U38" s="13" t="str"/>
      <x:c r="V38" s="13" t="str"/>
      <x:c r="W38" s="13" t="n">
        <x:v>70</x:v>
      </x:c>
      <x:c r="X38" s="13" t="str">
        <x:f>IF(H38="","",H38-V38)</x:f>
      </x:c>
      <x:c r="Y38" s="13" t="str">
        <x:f>IF(R38="","",IF(OR(R38="Y",R38="Yes",R38="1"),"OK","NO"))</x:f>
      </x:c>
      <x:c r="Z38" s="13" t="str">
        <x:f>IF(S38="","",IF(OR(S38="Y",S38="Yes",S38="1"),"OK","NO"))</x:f>
      </x:c>
      <x:c r="AA38"/>
    </x:row>
    <x:row r="39">
      <x:c r="A39" s="13" t="str">
        <x:v>T04</x:v>
      </x:c>
      <x:c r="B39" s="13" t="str"/>
      <x:c r="C39" s="13" t="str">
        <x:v>L02</x:v>
      </x:c>
      <x:c r="D39" s="13" t="str">
        <x:v>01</x:v>
      </x:c>
      <x:c r="E39" s="13" t="n">
        <x:v>1</x:v>
      </x:c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3" t="str"/>
      <x:c r="S39" s="13" t="str"/>
      <x:c r="T39" s="13" t="str"/>
      <x:c r="U39" s="13" t="str"/>
      <x:c r="V39" s="13" t="str"/>
      <x:c r="W39" s="13" t="n">
        <x:v>65</x:v>
      </x:c>
      <x:c r="X39" s="13" t="str">
        <x:f>IF(H39="","",H39-V39)</x:f>
      </x:c>
      <x:c r="Y39" s="13" t="str">
        <x:f>IF(R39="","",IF(OR(R39="Y",R39="Yes",R39="1"),"OK","NO"))</x:f>
      </x:c>
      <x:c r="Z39" s="13" t="str">
        <x:f>IF(S39="","",IF(OR(S39="Y",S39="Yes",S39="1"),"OK","NO"))</x:f>
      </x:c>
      <x:c r="AA39"/>
    </x:row>
    <x:row r="40">
      <x:c r="A40" s="13" t="str">
        <x:v>T04</x:v>
      </x:c>
      <x:c r="B40" s="13" t="str"/>
      <x:c r="C40" s="13" t="str">
        <x:v>L03</x:v>
      </x:c>
      <x:c r="D40" s="13" t="str">
        <x:v>01</x:v>
      </x:c>
      <x:c r="E40" s="13" t="n">
        <x:v>1</x:v>
      </x:c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3" t="str"/>
      <x:c r="S40" s="13" t="str"/>
      <x:c r="T40" s="13" t="str"/>
      <x:c r="U40" s="13" t="str"/>
      <x:c r="V40" s="13" t="str"/>
      <x:c r="W40" s="13" t="n">
        <x:v>75</x:v>
      </x:c>
      <x:c r="X40" s="13" t="str">
        <x:f>IF(H40="","",H40-V40)</x:f>
      </x:c>
      <x:c r="Y40" s="13" t="str">
        <x:f>IF(R40="","",IF(OR(R40="Y",R40="Yes",R40="1"),"OK","NO"))</x:f>
      </x:c>
      <x:c r="Z40" s="13" t="str">
        <x:f>IF(S40="","",IF(OR(S40="Y",S40="Yes",S40="1"),"OK","NO"))</x:f>
      </x:c>
      <x:c r="AA40"/>
    </x:row>
    <x:row r="41">
      <x:c r="A41" s="13" t="str">
        <x:v>T04</x:v>
      </x:c>
      <x:c r="B41" s="13" t="str"/>
      <x:c r="C41" s="13" t="str">
        <x:v>L04</x:v>
      </x:c>
      <x:c r="D41" s="13" t="str">
        <x:v>01</x:v>
      </x:c>
      <x:c r="E41" s="13" t="n">
        <x:v>1</x:v>
      </x:c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3" t="str"/>
      <x:c r="S41" s="13" t="str"/>
      <x:c r="T41" s="13" t="str"/>
      <x:c r="U41" s="13" t="str"/>
      <x:c r="V41" s="13" t="str"/>
      <x:c r="W41" s="13" t="n">
        <x:v>80</x:v>
      </x:c>
      <x:c r="X41" s="13" t="str">
        <x:f>IF(H41="","",H41-V41)</x:f>
      </x:c>
      <x:c r="Y41" s="13" t="str">
        <x:f>IF(R41="","",IF(OR(R41="Y",R41="Yes",R41="1"),"OK","NO"))</x:f>
      </x:c>
      <x:c r="Z41" s="13" t="str">
        <x:f>IF(S41="","",IF(OR(S41="Y",S41="Yes",S41="1"),"OK","NO"))</x:f>
      </x:c>
      <x:c r="AA41"/>
    </x:row>
    <x:row r="42">
      <x:c r="A42" s="13" t="str">
        <x:v>T04</x:v>
      </x:c>
      <x:c r="B42" s="13" t="str"/>
      <x:c r="C42" s="13" t="str">
        <x:v>L05</x:v>
      </x:c>
      <x:c r="D42" s="13" t="str">
        <x:v>02</x:v>
      </x:c>
      <x:c r="E42" s="13" t="n">
        <x:v>1</x:v>
      </x:c>
      <x:c r="F42" s="13" t="str"/>
      <x:c r="G42" s="13" t="str"/>
      <x:c r="H42" s="13" t="str"/>
      <x:c r="I42" s="13" t="str"/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/>
      <x:c r="R42" s="13" t="str"/>
      <x:c r="S42" s="13" t="str"/>
      <x:c r="T42" s="13" t="str"/>
      <x:c r="U42" s="13" t="str"/>
      <x:c r="V42" s="13" t="str"/>
      <x:c r="W42" s="13" t="n">
        <x:v>90</x:v>
      </x:c>
      <x:c r="X42" s="13" t="str">
        <x:f>IF(H42="","",H42-V42)</x:f>
      </x:c>
      <x:c r="Y42" s="13" t="str">
        <x:f>IF(R42="","",IF(OR(R42="Y",R42="Yes",R42="1"),"OK","NO"))</x:f>
      </x:c>
      <x:c r="Z42" s="13" t="str">
        <x:f>IF(S42="","",IF(OR(S42="Y",S42="Yes",S42="1"),"OK","NO"))</x:f>
      </x:c>
      <x:c r="AA42"/>
    </x:row>
    <x:row r="43">
      <x:c r="A43" s="13" t="str">
        <x:v>T04</x:v>
      </x:c>
      <x:c r="B43" s="13" t="str"/>
      <x:c r="C43" s="13" t="str">
        <x:v>L06</x:v>
      </x:c>
      <x:c r="D43" s="13" t="str">
        <x:v>02</x:v>
      </x:c>
      <x:c r="E43" s="13" t="n">
        <x:v>1</x:v>
      </x:c>
      <x:c r="F43" s="13" t="str"/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str"/>
      <x:c r="P43" s="13" t="str"/>
      <x:c r="Q43" s="13" t="str"/>
      <x:c r="R43" s="13" t="str"/>
      <x:c r="S43" s="13" t="str"/>
      <x:c r="T43" s="13" t="str"/>
      <x:c r="U43" s="13" t="str"/>
      <x:c r="V43" s="13" t="str"/>
      <x:c r="W43" s="13" t="n">
        <x:v>100</x:v>
      </x:c>
      <x:c r="X43" s="13" t="str">
        <x:f>IF(H43="","",H43-V43)</x:f>
      </x:c>
      <x:c r="Y43" s="13" t="str">
        <x:f>IF(R43="","",IF(OR(R43="Y",R43="Yes",R43="1"),"OK","NO"))</x:f>
      </x:c>
      <x:c r="Z43" s="13" t="str">
        <x:f>IF(S43="","",IF(OR(S43="Y",S43="Yes",S43="1"),"OK","NO"))</x:f>
      </x:c>
      <x:c r="AA43"/>
    </x:row>
    <x:row r="44">
      <x:c r="A44" s="13" t="str">
        <x:v>T04</x:v>
      </x:c>
      <x:c r="B44" s="13" t="str"/>
      <x:c r="C44" s="13" t="str">
        <x:v>L07</x:v>
      </x:c>
      <x:c r="D44" s="13" t="str">
        <x:v>02</x:v>
      </x:c>
      <x:c r="E44" s="13" t="n">
        <x:v>1</x:v>
      </x:c>
      <x:c r="F44" s="13" t="str"/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str"/>
      <x:c r="P44" s="13" t="str"/>
      <x:c r="Q44" s="13" t="str"/>
      <x:c r="R44" s="13" t="str"/>
      <x:c r="S44" s="13" t="str"/>
      <x:c r="T44" s="13" t="str"/>
      <x:c r="U44" s="13" t="str"/>
      <x:c r="V44" s="13" t="str"/>
      <x:c r="W44" s="13" t="n">
        <x:v>115</x:v>
      </x:c>
      <x:c r="X44" s="13" t="str">
        <x:f>IF(H44="","",H44-V44)</x:f>
      </x:c>
      <x:c r="Y44" s="13" t="str">
        <x:f>IF(R44="","",IF(OR(R44="Y",R44="Yes",R44="1"),"OK","NO"))</x:f>
      </x:c>
      <x:c r="Z44" s="13" t="str">
        <x:f>IF(S44="","",IF(OR(S44="Y",S44="Yes",S44="1"),"OK","NO"))</x:f>
      </x:c>
      <x:c r="AA44"/>
    </x:row>
    <x:row r="45">
      <x:c r="A45" s="13" t="str">
        <x:v>T04</x:v>
      </x:c>
      <x:c r="B45" s="13" t="str"/>
      <x:c r="C45" s="13" t="str">
        <x:v>L08</x:v>
      </x:c>
      <x:c r="D45" s="13" t="str">
        <x:v>02</x:v>
      </x:c>
      <x:c r="E45" s="13" t="n">
        <x:v>1</x:v>
      </x:c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/>
      <x:c r="R45" s="13" t="str"/>
      <x:c r="S45" s="13" t="str"/>
      <x:c r="T45" s="13" t="str"/>
      <x:c r="U45" s="13" t="str"/>
      <x:c r="V45" s="13" t="str"/>
      <x:c r="W45" s="13" t="n">
        <x:v>130</x:v>
      </x:c>
      <x:c r="X45" s="13" t="str">
        <x:f>IF(H45="","",H45-V45)</x:f>
      </x:c>
      <x:c r="Y45" s="13" t="str">
        <x:f>IF(R45="","",IF(OR(R45="Y",R45="Yes",R45="1"),"OK","NO"))</x:f>
      </x:c>
      <x:c r="Z45" s="13" t="str">
        <x:f>IF(S45="","",IF(OR(S45="Y",S45="Yes",S45="1"),"OK","NO"))</x:f>
      </x:c>
      <x:c r="AA45"/>
    </x:row>
    <x:row r="46">
      <x:c r="A46" s="13" t="str">
        <x:v>T04</x:v>
      </x:c>
      <x:c r="B46" s="13" t="str"/>
      <x:c r="C46" s="13" t="str">
        <x:v>L09</x:v>
      </x:c>
      <x:c r="D46" s="13" t="str">
        <x:v>03</x:v>
      </x:c>
      <x:c r="E46" s="13" t="n">
        <x:v>1</x:v>
      </x:c>
      <x:c r="F46" s="13" t="str"/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str"/>
      <x:c r="P46" s="13" t="str"/>
      <x:c r="Q46" s="13" t="str"/>
      <x:c r="R46" s="13" t="str"/>
      <x:c r="S46" s="13" t="str"/>
      <x:c r="T46" s="13" t="str"/>
      <x:c r="U46" s="13" t="str"/>
      <x:c r="V46" s="13" t="str"/>
      <x:c r="W46" s="13" t="n">
        <x:v>110</x:v>
      </x:c>
      <x:c r="X46" s="13" t="str">
        <x:f>IF(H46="","",H46-V46)</x:f>
      </x:c>
      <x:c r="Y46" s="13" t="str">
        <x:f>IF(R46="","",IF(OR(R46="Y",R46="Yes",R46="1"),"OK","NO"))</x:f>
      </x:c>
      <x:c r="Z46" s="13" t="str">
        <x:f>IF(S46="","",IF(OR(S46="Y",S46="Yes",S46="1"),"OK","NO"))</x:f>
      </x:c>
      <x:c r="AA46"/>
    </x:row>
    <x:row r="47">
      <x:c r="A47" s="13" t="str">
        <x:v>T04</x:v>
      </x:c>
      <x:c r="B47" s="13" t="str"/>
      <x:c r="C47" s="13" t="str">
        <x:v>L10</x:v>
      </x:c>
      <x:c r="D47" s="13" t="str">
        <x:v>03</x:v>
      </x:c>
      <x:c r="E47" s="13" t="n">
        <x:v>1</x:v>
      </x:c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str"/>
      <x:c r="P47" s="13" t="str"/>
      <x:c r="Q47" s="13" t="str"/>
      <x:c r="R47" s="13" t="str"/>
      <x:c r="S47" s="13" t="str"/>
      <x:c r="T47" s="13" t="str"/>
      <x:c r="U47" s="13" t="str"/>
      <x:c r="V47" s="13" t="str"/>
      <x:c r="W47" s="13" t="n">
        <x:v>125</x:v>
      </x:c>
      <x:c r="X47" s="13" t="str">
        <x:f>IF(H47="","",H47-V47)</x:f>
      </x:c>
      <x:c r="Y47" s="13" t="str">
        <x:f>IF(R47="","",IF(OR(R47="Y",R47="Yes",R47="1"),"OK","NO"))</x:f>
      </x:c>
      <x:c r="Z47" s="13" t="str">
        <x:f>IF(S47="","",IF(OR(S47="Y",S47="Yes",S47="1"),"OK","NO"))</x:f>
      </x:c>
      <x:c r="AA47"/>
    </x:row>
    <x:row r="48">
      <x:c r="A48" s="13" t="str">
        <x:v>T04</x:v>
      </x:c>
      <x:c r="B48" s="13" t="str"/>
      <x:c r="C48" s="13" t="str">
        <x:v>L11</x:v>
      </x:c>
      <x:c r="D48" s="13" t="str">
        <x:v>03</x:v>
      </x:c>
      <x:c r="E48" s="13" t="n">
        <x:v>1</x:v>
      </x:c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3" t="str"/>
      <x:c r="S48" s="13" t="str"/>
      <x:c r="T48" s="13" t="str"/>
      <x:c r="U48" s="13" t="str"/>
      <x:c r="V48" s="13" t="str"/>
      <x:c r="W48" s="13" t="n">
        <x:v>150</x:v>
      </x:c>
      <x:c r="X48" s="13" t="str">
        <x:f>IF(H48="","",H48-V48)</x:f>
      </x:c>
      <x:c r="Y48" s="13" t="str">
        <x:f>IF(R48="","",IF(OR(R48="Y",R48="Yes",R48="1"),"OK","NO"))</x:f>
      </x:c>
      <x:c r="Z48" s="13" t="str">
        <x:f>IF(S48="","",IF(OR(S48="Y",S48="Yes",S48="1"),"OK","NO"))</x:f>
      </x:c>
      <x:c r="AA48"/>
    </x:row>
    <x:row r="49">
      <x:c r="A49" s="13" t="str">
        <x:v>T04</x:v>
      </x:c>
      <x:c r="B49" s="13" t="str"/>
      <x:c r="C49" s="13" t="str">
        <x:v>L12</x:v>
      </x:c>
      <x:c r="D49" s="13" t="str">
        <x:v>03</x:v>
      </x:c>
      <x:c r="E49" s="13" t="n">
        <x:v>1</x:v>
      </x:c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3" t="str"/>
      <x:c r="S49" s="13" t="str"/>
      <x:c r="T49" s="13" t="str"/>
      <x:c r="U49" s="13" t="str"/>
      <x:c r="V49" s="13" t="str"/>
      <x:c r="W49" s="13" t="n">
        <x:v>180</x:v>
      </x:c>
      <x:c r="X49" s="13" t="str">
        <x:f>IF(H49="","",H49-V49)</x:f>
      </x:c>
      <x:c r="Y49" s="13" t="str">
        <x:f>IF(R49="","",IF(OR(R49="Y",R49="Yes",R49="1"),"OK","NO"))</x:f>
      </x:c>
      <x:c r="Z49" s="13" t="str">
        <x:f>IF(S49="","",IF(OR(S49="Y",S49="Yes",S49="1"),"OK","NO"))</x:f>
      </x:c>
      <x:c r="AA49"/>
    </x:row>
    <x:row r="50">
      <x:c r="A50" s="13" t="str">
        <x:v>T05</x:v>
      </x:c>
      <x:c r="B50" s="13" t="str"/>
      <x:c r="C50" s="13" t="str">
        <x:v>L01</x:v>
      </x:c>
      <x:c r="D50" s="13" t="str">
        <x:v>01</x:v>
      </x:c>
      <x:c r="E50" s="13" t="n">
        <x:v>1</x:v>
      </x:c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str"/>
      <x:c r="P50" s="13" t="str"/>
      <x:c r="Q50" s="13" t="str"/>
      <x:c r="R50" s="13" t="str"/>
      <x:c r="S50" s="13" t="str"/>
      <x:c r="T50" s="13" t="str"/>
      <x:c r="U50" s="13" t="str"/>
      <x:c r="V50" s="13" t="str"/>
      <x:c r="W50" s="13" t="n">
        <x:v>70</x:v>
      </x:c>
      <x:c r="X50" s="13" t="str">
        <x:f>IF(H50="","",H50-V50)</x:f>
      </x:c>
      <x:c r="Y50" s="13" t="str">
        <x:f>IF(R50="","",IF(OR(R50="Y",R50="Yes",R50="1"),"OK","NO"))</x:f>
      </x:c>
      <x:c r="Z50" s="13" t="str">
        <x:f>IF(S50="","",IF(OR(S50="Y",S50="Yes",S50="1"),"OK","NO"))</x:f>
      </x:c>
      <x:c r="AA50"/>
    </x:row>
    <x:row r="51">
      <x:c r="A51" s="13" t="str">
        <x:v>T05</x:v>
      </x:c>
      <x:c r="B51" s="13" t="str"/>
      <x:c r="C51" s="13" t="str">
        <x:v>L02</x:v>
      </x:c>
      <x:c r="D51" s="13" t="str">
        <x:v>01</x:v>
      </x:c>
      <x:c r="E51" s="13" t="n">
        <x:v>1</x:v>
      </x:c>
      <x:c r="F51" s="13" t="str"/>
      <x:c r="G51" s="13" t="str"/>
      <x:c r="H51" s="13" t="str"/>
      <x:c r="I51" s="13" t="str"/>
      <x:c r="J51" s="13" t="str"/>
      <x:c r="K51" s="13" t="str"/>
      <x:c r="L51" s="13" t="str"/>
      <x:c r="M51" s="13" t="str"/>
      <x:c r="N51" s="13" t="str"/>
      <x:c r="O51" s="13" t="str"/>
      <x:c r="P51" s="13" t="str"/>
      <x:c r="Q51" s="13" t="str"/>
      <x:c r="R51" s="13" t="str"/>
      <x:c r="S51" s="13" t="str"/>
      <x:c r="T51" s="13" t="str"/>
      <x:c r="U51" s="13" t="str"/>
      <x:c r="V51" s="13" t="str"/>
      <x:c r="W51" s="13" t="n">
        <x:v>65</x:v>
      </x:c>
      <x:c r="X51" s="13" t="str">
        <x:f>IF(H51="","",H51-V51)</x:f>
      </x:c>
      <x:c r="Y51" s="13" t="str">
        <x:f>IF(R51="","",IF(OR(R51="Y",R51="Yes",R51="1"),"OK","NO"))</x:f>
      </x:c>
      <x:c r="Z51" s="13" t="str">
        <x:f>IF(S51="","",IF(OR(S51="Y",S51="Yes",S51="1"),"OK","NO"))</x:f>
      </x:c>
      <x:c r="AA51"/>
    </x:row>
    <x:row r="52">
      <x:c r="A52" s="13" t="str">
        <x:v>T05</x:v>
      </x:c>
      <x:c r="B52" s="13" t="str"/>
      <x:c r="C52" s="13" t="str">
        <x:v>L03</x:v>
      </x:c>
      <x:c r="D52" s="13" t="str">
        <x:v>01</x:v>
      </x:c>
      <x:c r="E52" s="13" t="n">
        <x:v>1</x:v>
      </x:c>
      <x:c r="F52" s="13" t="str"/>
      <x:c r="G52" s="13" t="str"/>
      <x:c r="H52" s="13" t="str"/>
      <x:c r="I52" s="13" t="str"/>
      <x:c r="J52" s="13" t="str"/>
      <x:c r="K52" s="13" t="str"/>
      <x:c r="L52" s="13" t="str"/>
      <x:c r="M52" s="13" t="str"/>
      <x:c r="N52" s="13" t="str"/>
      <x:c r="O52" s="13" t="str"/>
      <x:c r="P52" s="13" t="str"/>
      <x:c r="Q52" s="13" t="str"/>
      <x:c r="R52" s="13" t="str"/>
      <x:c r="S52" s="13" t="str"/>
      <x:c r="T52" s="13" t="str"/>
      <x:c r="U52" s="13" t="str"/>
      <x:c r="V52" s="13" t="str"/>
      <x:c r="W52" s="13" t="n">
        <x:v>75</x:v>
      </x:c>
      <x:c r="X52" s="13" t="str">
        <x:f>IF(H52="","",H52-V52)</x:f>
      </x:c>
      <x:c r="Y52" s="13" t="str">
        <x:f>IF(R52="","",IF(OR(R52="Y",R52="Yes",R52="1"),"OK","NO"))</x:f>
      </x:c>
      <x:c r="Z52" s="13" t="str">
        <x:f>IF(S52="","",IF(OR(S52="Y",S52="Yes",S52="1"),"OK","NO"))</x:f>
      </x:c>
      <x:c r="AA52"/>
    </x:row>
    <x:row r="53">
      <x:c r="A53" s="13" t="str">
        <x:v>T05</x:v>
      </x:c>
      <x:c r="B53" s="13" t="str"/>
      <x:c r="C53" s="13" t="str">
        <x:v>L04</x:v>
      </x:c>
      <x:c r="D53" s="13" t="str">
        <x:v>01</x:v>
      </x:c>
      <x:c r="E53" s="13" t="n">
        <x:v>1</x:v>
      </x:c>
      <x:c r="F53" s="13" t="str"/>
      <x:c r="G53" s="13" t="str"/>
      <x:c r="H53" s="13" t="str"/>
      <x:c r="I53" s="13" t="str"/>
      <x:c r="J53" s="13" t="str"/>
      <x:c r="K53" s="13" t="str"/>
      <x:c r="L53" s="13" t="str"/>
      <x:c r="M53" s="13" t="str"/>
      <x:c r="N53" s="13" t="str"/>
      <x:c r="O53" s="13" t="str"/>
      <x:c r="P53" s="13" t="str"/>
      <x:c r="Q53" s="13" t="str"/>
      <x:c r="R53" s="13" t="str"/>
      <x:c r="S53" s="13" t="str"/>
      <x:c r="T53" s="13" t="str"/>
      <x:c r="U53" s="13" t="str"/>
      <x:c r="V53" s="13" t="str"/>
      <x:c r="W53" s="13" t="n">
        <x:v>80</x:v>
      </x:c>
      <x:c r="X53" s="13" t="str">
        <x:f>IF(H53="","",H53-V53)</x:f>
      </x:c>
      <x:c r="Y53" s="13" t="str">
        <x:f>IF(R53="","",IF(OR(R53="Y",R53="Yes",R53="1"),"OK","NO"))</x:f>
      </x:c>
      <x:c r="Z53" s="13" t="str">
        <x:f>IF(S53="","",IF(OR(S53="Y",S53="Yes",S53="1"),"OK","NO"))</x:f>
      </x:c>
      <x:c r="AA53"/>
    </x:row>
    <x:row r="54">
      <x:c r="A54" s="13" t="str">
        <x:v>T05</x:v>
      </x:c>
      <x:c r="B54" s="13" t="str"/>
      <x:c r="C54" s="13" t="str">
        <x:v>L05</x:v>
      </x:c>
      <x:c r="D54" s="13" t="str">
        <x:v>02</x:v>
      </x:c>
      <x:c r="E54" s="13" t="n">
        <x:v>1</x:v>
      </x:c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3" t="str"/>
      <x:c r="S54" s="13" t="str"/>
      <x:c r="T54" s="13" t="str"/>
      <x:c r="U54" s="13" t="str"/>
      <x:c r="V54" s="13" t="str"/>
      <x:c r="W54" s="13" t="n">
        <x:v>90</x:v>
      </x:c>
      <x:c r="X54" s="13" t="str">
        <x:f>IF(H54="","",H54-V54)</x:f>
      </x:c>
      <x:c r="Y54" s="13" t="str">
        <x:f>IF(R54="","",IF(OR(R54="Y",R54="Yes",R54="1"),"OK","NO"))</x:f>
      </x:c>
      <x:c r="Z54" s="13" t="str">
        <x:f>IF(S54="","",IF(OR(S54="Y",S54="Yes",S54="1"),"OK","NO"))</x:f>
      </x:c>
      <x:c r="AA54"/>
    </x:row>
    <x:row r="55">
      <x:c r="A55" s="13" t="str">
        <x:v>T05</x:v>
      </x:c>
      <x:c r="B55" s="13" t="str"/>
      <x:c r="C55" s="13" t="str">
        <x:v>L06</x:v>
      </x:c>
      <x:c r="D55" s="13" t="str">
        <x:v>02</x:v>
      </x:c>
      <x:c r="E55" s="13" t="n">
        <x:v>1</x:v>
      </x:c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3" t="str"/>
      <x:c r="S55" s="13" t="str"/>
      <x:c r="T55" s="13" t="str"/>
      <x:c r="U55" s="13" t="str"/>
      <x:c r="V55" s="13" t="str"/>
      <x:c r="W55" s="13" t="n">
        <x:v>100</x:v>
      </x:c>
      <x:c r="X55" s="13" t="str">
        <x:f>IF(H55="","",H55-V55)</x:f>
      </x:c>
      <x:c r="Y55" s="13" t="str">
        <x:f>IF(R55="","",IF(OR(R55="Y",R55="Yes",R55="1"),"OK","NO"))</x:f>
      </x:c>
      <x:c r="Z55" s="13" t="str">
        <x:f>IF(S55="","",IF(OR(S55="Y",S55="Yes",S55="1"),"OK","NO"))</x:f>
      </x:c>
      <x:c r="AA55"/>
    </x:row>
    <x:row r="56">
      <x:c r="A56" s="13" t="str">
        <x:v>T05</x:v>
      </x:c>
      <x:c r="B56" s="13" t="str"/>
      <x:c r="C56" s="13" t="str">
        <x:v>L07</x:v>
      </x:c>
      <x:c r="D56" s="13" t="str">
        <x:v>02</x:v>
      </x:c>
      <x:c r="E56" s="13" t="n">
        <x:v>1</x:v>
      </x:c>
      <x:c r="F56" s="13" t="str"/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/>
      <x:c r="R56" s="13" t="str"/>
      <x:c r="S56" s="13" t="str"/>
      <x:c r="T56" s="13" t="str"/>
      <x:c r="U56" s="13" t="str"/>
      <x:c r="V56" s="13" t="str"/>
      <x:c r="W56" s="13" t="n">
        <x:v>115</x:v>
      </x:c>
      <x:c r="X56" s="13" t="str">
        <x:f>IF(H56="","",H56-V56)</x:f>
      </x:c>
      <x:c r="Y56" s="13" t="str">
        <x:f>IF(R56="","",IF(OR(R56="Y",R56="Yes",R56="1"),"OK","NO"))</x:f>
      </x:c>
      <x:c r="Z56" s="13" t="str">
        <x:f>IF(S56="","",IF(OR(S56="Y",S56="Yes",S56="1"),"OK","NO"))</x:f>
      </x:c>
      <x:c r="AA56"/>
    </x:row>
    <x:row r="57">
      <x:c r="A57" s="13" t="str">
        <x:v>T05</x:v>
      </x:c>
      <x:c r="B57" s="13" t="str"/>
      <x:c r="C57" s="13" t="str">
        <x:v>L08</x:v>
      </x:c>
      <x:c r="D57" s="13" t="str">
        <x:v>02</x:v>
      </x:c>
      <x:c r="E57" s="13" t="n">
        <x:v>1</x:v>
      </x:c>
      <x:c r="F57" s="13" t="str"/>
      <x:c r="G57" s="13" t="str"/>
      <x:c r="H57" s="13" t="str"/>
      <x:c r="I57" s="13" t="str"/>
      <x:c r="J57" s="13" t="str"/>
      <x:c r="K57" s="13" t="str"/>
      <x:c r="L57" s="13" t="str"/>
      <x:c r="M57" s="13" t="str"/>
      <x:c r="N57" s="13" t="str"/>
      <x:c r="O57" s="13" t="str"/>
      <x:c r="P57" s="13" t="str"/>
      <x:c r="Q57" s="13" t="str"/>
      <x:c r="R57" s="13" t="str"/>
      <x:c r="S57" s="13" t="str"/>
      <x:c r="T57" s="13" t="str"/>
      <x:c r="U57" s="13" t="str"/>
      <x:c r="V57" s="13" t="str"/>
      <x:c r="W57" s="13" t="n">
        <x:v>130</x:v>
      </x:c>
      <x:c r="X57" s="13" t="str">
        <x:f>IF(H57="","",H57-V57)</x:f>
      </x:c>
      <x:c r="Y57" s="13" t="str">
        <x:f>IF(R57="","",IF(OR(R57="Y",R57="Yes",R57="1"),"OK","NO"))</x:f>
      </x:c>
      <x:c r="Z57" s="13" t="str">
        <x:f>IF(S57="","",IF(OR(S57="Y",S57="Yes",S57="1"),"OK","NO"))</x:f>
      </x:c>
      <x:c r="AA57"/>
    </x:row>
    <x:row r="58">
      <x:c r="A58" s="13" t="str">
        <x:v>T05</x:v>
      </x:c>
      <x:c r="B58" s="13" t="str"/>
      <x:c r="C58" s="13" t="str">
        <x:v>L09</x:v>
      </x:c>
      <x:c r="D58" s="13" t="str">
        <x:v>03</x:v>
      </x:c>
      <x:c r="E58" s="13" t="n">
        <x:v>1</x:v>
      </x:c>
      <x:c r="F58" s="13" t="str"/>
      <x:c r="G58" s="13" t="str"/>
      <x:c r="H58" s="13" t="str"/>
      <x:c r="I58" s="13" t="str"/>
      <x:c r="J58" s="13" t="str"/>
      <x:c r="K58" s="13" t="str"/>
      <x:c r="L58" s="13" t="str"/>
      <x:c r="M58" s="13" t="str"/>
      <x:c r="N58" s="13" t="str"/>
      <x:c r="O58" s="13" t="str"/>
      <x:c r="P58" s="13" t="str"/>
      <x:c r="Q58" s="13" t="str"/>
      <x:c r="R58" s="13" t="str"/>
      <x:c r="S58" s="13" t="str"/>
      <x:c r="T58" s="13" t="str"/>
      <x:c r="U58" s="13" t="str"/>
      <x:c r="V58" s="13" t="str"/>
      <x:c r="W58" s="13" t="n">
        <x:v>110</x:v>
      </x:c>
      <x:c r="X58" s="13" t="str">
        <x:f>IF(H58="","",H58-V58)</x:f>
      </x:c>
      <x:c r="Y58" s="13" t="str">
        <x:f>IF(R58="","",IF(OR(R58="Y",R58="Yes",R58="1"),"OK","NO"))</x:f>
      </x:c>
      <x:c r="Z58" s="13" t="str">
        <x:f>IF(S58="","",IF(OR(S58="Y",S58="Yes",S58="1"),"OK","NO"))</x:f>
      </x:c>
      <x:c r="AA58"/>
    </x:row>
    <x:row r="59">
      <x:c r="A59" s="13" t="str">
        <x:v>T05</x:v>
      </x:c>
      <x:c r="B59" s="13" t="str"/>
      <x:c r="C59" s="13" t="str">
        <x:v>L10</x:v>
      </x:c>
      <x:c r="D59" s="13" t="str">
        <x:v>03</x:v>
      </x:c>
      <x:c r="E59" s="13" t="n">
        <x:v>1</x:v>
      </x:c>
      <x:c r="F59" s="13" t="str"/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str"/>
      <x:c r="P59" s="13" t="str"/>
      <x:c r="Q59" s="13" t="str"/>
      <x:c r="R59" s="13" t="str"/>
      <x:c r="S59" s="13" t="str"/>
      <x:c r="T59" s="13" t="str"/>
      <x:c r="U59" s="13" t="str"/>
      <x:c r="V59" s="13" t="str"/>
      <x:c r="W59" s="13" t="n">
        <x:v>125</x:v>
      </x:c>
      <x:c r="X59" s="13" t="str">
        <x:f>IF(H59="","",H59-V59)</x:f>
      </x:c>
      <x:c r="Y59" s="13" t="str">
        <x:f>IF(R59="","",IF(OR(R59="Y",R59="Yes",R59="1"),"OK","NO"))</x:f>
      </x:c>
      <x:c r="Z59" s="13" t="str">
        <x:f>IF(S59="","",IF(OR(S59="Y",S59="Yes",S59="1"),"OK","NO"))</x:f>
      </x:c>
      <x:c r="AA59"/>
    </x:row>
    <x:row r="60">
      <x:c r="A60" s="13" t="str">
        <x:v>T05</x:v>
      </x:c>
      <x:c r="B60" s="13" t="str"/>
      <x:c r="C60" s="13" t="str">
        <x:v>L11</x:v>
      </x:c>
      <x:c r="D60" s="13" t="str">
        <x:v>03</x:v>
      </x:c>
      <x:c r="E60" s="13" t="n">
        <x:v>1</x:v>
      </x:c>
      <x:c r="F60" s="13" t="str"/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/>
      <x:c r="O60" s="13" t="str"/>
      <x:c r="P60" s="13" t="str"/>
      <x:c r="Q60" s="13" t="str"/>
      <x:c r="R60" s="13" t="str"/>
      <x:c r="S60" s="13" t="str"/>
      <x:c r="T60" s="13" t="str"/>
      <x:c r="U60" s="13" t="str"/>
      <x:c r="V60" s="13" t="str"/>
      <x:c r="W60" s="13" t="n">
        <x:v>150</x:v>
      </x:c>
      <x:c r="X60" s="13" t="str">
        <x:f>IF(H60="","",H60-V60)</x:f>
      </x:c>
      <x:c r="Y60" s="13" t="str">
        <x:f>IF(R60="","",IF(OR(R60="Y",R60="Yes",R60="1"),"OK","NO"))</x:f>
      </x:c>
      <x:c r="Z60" s="13" t="str">
        <x:f>IF(S60="","",IF(OR(S60="Y",S60="Yes",S60="1"),"OK","NO"))</x:f>
      </x:c>
      <x:c r="AA60"/>
    </x:row>
    <x:row r="61">
      <x:c r="A61" s="13" t="str">
        <x:v>T05</x:v>
      </x:c>
      <x:c r="B61" s="13" t="str"/>
      <x:c r="C61" s="13" t="str">
        <x:v>L12</x:v>
      </x:c>
      <x:c r="D61" s="13" t="str">
        <x:v>03</x:v>
      </x:c>
      <x:c r="E61" s="13" t="n">
        <x:v>1</x:v>
      </x:c>
      <x:c r="F61" s="13" t="str"/>
      <x:c r="G61" s="13" t="str"/>
      <x:c r="H61" s="13" t="str"/>
      <x:c r="I61" s="13" t="str"/>
      <x:c r="J61" s="13" t="str"/>
      <x:c r="K61" s="13" t="str"/>
      <x:c r="L61" s="13" t="str"/>
      <x:c r="M61" s="13" t="str"/>
      <x:c r="N61" s="13" t="str"/>
      <x:c r="O61" s="13" t="str"/>
      <x:c r="P61" s="13" t="str"/>
      <x:c r="Q61" s="13" t="str"/>
      <x:c r="R61" s="13" t="str"/>
      <x:c r="S61" s="13" t="str"/>
      <x:c r="T61" s="13" t="str"/>
      <x:c r="U61" s="13" t="str"/>
      <x:c r="V61" s="13" t="str"/>
      <x:c r="W61" s="13" t="n">
        <x:v>180</x:v>
      </x:c>
      <x:c r="X61" s="13" t="str">
        <x:f>IF(H61="","",H61-V61)</x:f>
      </x:c>
      <x:c r="Y61" s="13" t="str">
        <x:f>IF(R61="","",IF(OR(R61="Y",R61="Yes",R61="1"),"OK","NO"))</x:f>
      </x:c>
      <x:c r="Z61" s="13" t="str">
        <x:f>IF(S61="","",IF(OR(S61="Y",S61="Yes",S61="1"),"OK","NO"))</x:f>
      </x:c>
      <x:c r="AA61"/>
    </x:row>
    <x:row r="62">
      <x:c r="A62" s="13" t="str">
        <x:v>T06</x:v>
      </x:c>
      <x:c r="B62" s="13" t="str"/>
      <x:c r="C62" s="13" t="str">
        <x:v>L01</x:v>
      </x:c>
      <x:c r="D62" s="13" t="str">
        <x:v>01</x:v>
      </x:c>
      <x:c r="E62" s="13" t="n">
        <x:v>1</x:v>
      </x:c>
      <x:c r="F62" s="13" t="str"/>
      <x:c r="G62" s="13" t="str"/>
      <x:c r="H62" s="13" t="str"/>
      <x:c r="I62" s="13" t="str"/>
      <x:c r="J62" s="13" t="str"/>
      <x:c r="K62" s="13" t="str"/>
      <x:c r="L62" s="13" t="str"/>
      <x:c r="M62" s="13" t="str"/>
      <x:c r="N62" s="13" t="str"/>
      <x:c r="O62" s="13" t="str"/>
      <x:c r="P62" s="13" t="str"/>
      <x:c r="Q62" s="13" t="str"/>
      <x:c r="R62" s="13" t="str"/>
      <x:c r="S62" s="13" t="str"/>
      <x:c r="T62" s="13" t="str"/>
      <x:c r="U62" s="13" t="str"/>
      <x:c r="V62" s="13" t="str"/>
      <x:c r="W62" s="13" t="n">
        <x:v>70</x:v>
      </x:c>
      <x:c r="X62" s="13" t="str">
        <x:f>IF(H62="","",H62-V62)</x:f>
      </x:c>
      <x:c r="Y62" s="13" t="str">
        <x:f>IF(R62="","",IF(OR(R62="Y",R62="Yes",R62="1"),"OK","NO"))</x:f>
      </x:c>
      <x:c r="Z62" s="13" t="str">
        <x:f>IF(S62="","",IF(OR(S62="Y",S62="Yes",S62="1"),"OK","NO"))</x:f>
      </x:c>
      <x:c r="AA62"/>
    </x:row>
    <x:row r="63">
      <x:c r="A63" s="13" t="str">
        <x:v>T06</x:v>
      </x:c>
      <x:c r="B63" s="13" t="str"/>
      <x:c r="C63" s="13" t="str">
        <x:v>L02</x:v>
      </x:c>
      <x:c r="D63" s="13" t="str">
        <x:v>01</x:v>
      </x:c>
      <x:c r="E63" s="13" t="n">
        <x:v>1</x:v>
      </x:c>
      <x:c r="F63" s="13" t="str"/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str"/>
      <x:c r="P63" s="13" t="str"/>
      <x:c r="Q63" s="13" t="str"/>
      <x:c r="R63" s="13" t="str"/>
      <x:c r="S63" s="13" t="str"/>
      <x:c r="T63" s="13" t="str"/>
      <x:c r="U63" s="13" t="str"/>
      <x:c r="V63" s="13" t="str"/>
      <x:c r="W63" s="13" t="n">
        <x:v>65</x:v>
      </x:c>
      <x:c r="X63" s="13" t="str">
        <x:f>IF(H63="","",H63-V63)</x:f>
      </x:c>
      <x:c r="Y63" s="13" t="str">
        <x:f>IF(R63="","",IF(OR(R63="Y",R63="Yes",R63="1"),"OK","NO"))</x:f>
      </x:c>
      <x:c r="Z63" s="13" t="str">
        <x:f>IF(S63="","",IF(OR(S63="Y",S63="Yes",S63="1"),"OK","NO"))</x:f>
      </x:c>
      <x:c r="AA63"/>
    </x:row>
    <x:row r="64">
      <x:c r="A64" s="13" t="str">
        <x:v>T06</x:v>
      </x:c>
      <x:c r="B64" s="13" t="str"/>
      <x:c r="C64" s="13" t="str">
        <x:v>L03</x:v>
      </x:c>
      <x:c r="D64" s="13" t="str">
        <x:v>01</x:v>
      </x:c>
      <x:c r="E64" s="13" t="n">
        <x:v>1</x:v>
      </x:c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/>
      <x:c r="R64" s="13" t="str"/>
      <x:c r="S64" s="13" t="str"/>
      <x:c r="T64" s="13" t="str"/>
      <x:c r="U64" s="13" t="str"/>
      <x:c r="V64" s="13" t="str"/>
      <x:c r="W64" s="13" t="n">
        <x:v>75</x:v>
      </x:c>
      <x:c r="X64" s="13" t="str">
        <x:f>IF(H64="","",H64-V64)</x:f>
      </x:c>
      <x:c r="Y64" s="13" t="str">
        <x:f>IF(R64="","",IF(OR(R64="Y",R64="Yes",R64="1"),"OK","NO"))</x:f>
      </x:c>
      <x:c r="Z64" s="13" t="str">
        <x:f>IF(S64="","",IF(OR(S64="Y",S64="Yes",S64="1"),"OK","NO"))</x:f>
      </x:c>
      <x:c r="AA64"/>
    </x:row>
    <x:row r="65">
      <x:c r="A65" s="13" t="str">
        <x:v>T06</x:v>
      </x:c>
      <x:c r="B65" s="13" t="str"/>
      <x:c r="C65" s="13" t="str">
        <x:v>L04</x:v>
      </x:c>
      <x:c r="D65" s="13" t="str">
        <x:v>01</x:v>
      </x:c>
      <x:c r="E65" s="13" t="n">
        <x:v>1</x:v>
      </x:c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/>
      <x:c r="R65" s="13" t="str"/>
      <x:c r="S65" s="13" t="str"/>
      <x:c r="T65" s="13" t="str"/>
      <x:c r="U65" s="13" t="str"/>
      <x:c r="V65" s="13" t="str"/>
      <x:c r="W65" s="13" t="n">
        <x:v>80</x:v>
      </x:c>
      <x:c r="X65" s="13" t="str">
        <x:f>IF(H65="","",H65-V65)</x:f>
      </x:c>
      <x:c r="Y65" s="13" t="str">
        <x:f>IF(R65="","",IF(OR(R65="Y",R65="Yes",R65="1"),"OK","NO"))</x:f>
      </x:c>
      <x:c r="Z65" s="13" t="str">
        <x:f>IF(S65="","",IF(OR(S65="Y",S65="Yes",S65="1"),"OK","NO"))</x:f>
      </x:c>
      <x:c r="AA65"/>
    </x:row>
    <x:row r="66">
      <x:c r="A66" s="13" t="str">
        <x:v>T06</x:v>
      </x:c>
      <x:c r="B66" s="13" t="str"/>
      <x:c r="C66" s="13" t="str">
        <x:v>L05</x:v>
      </x:c>
      <x:c r="D66" s="13" t="str">
        <x:v>02</x:v>
      </x:c>
      <x:c r="E66" s="13" t="n">
        <x:v>1</x:v>
      </x:c>
      <x:c r="F66" s="13" t="str"/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/>
      <x:c r="R66" s="13" t="str"/>
      <x:c r="S66" s="13" t="str"/>
      <x:c r="T66" s="13" t="str"/>
      <x:c r="U66" s="13" t="str"/>
      <x:c r="V66" s="13" t="str"/>
      <x:c r="W66" s="13" t="n">
        <x:v>90</x:v>
      </x:c>
      <x:c r="X66" s="13" t="str">
        <x:f>IF(H66="","",H66-V66)</x:f>
      </x:c>
      <x:c r="Y66" s="13" t="str">
        <x:f>IF(R66="","",IF(OR(R66="Y",R66="Yes",R66="1"),"OK","NO"))</x:f>
      </x:c>
      <x:c r="Z66" s="13" t="str">
        <x:f>IF(S66="","",IF(OR(S66="Y",S66="Yes",S66="1"),"OK","NO"))</x:f>
      </x:c>
      <x:c r="AA66"/>
    </x:row>
    <x:row r="67">
      <x:c r="A67" s="13" t="str">
        <x:v>T06</x:v>
      </x:c>
      <x:c r="B67" s="13" t="str"/>
      <x:c r="C67" s="13" t="str">
        <x:v>L06</x:v>
      </x:c>
      <x:c r="D67" s="13" t="str">
        <x:v>02</x:v>
      </x:c>
      <x:c r="E67" s="13" t="n">
        <x:v>1</x:v>
      </x:c>
      <x:c r="F67" s="13" t="str"/>
      <x:c r="G67" s="13" t="str"/>
      <x:c r="H67" s="13" t="str"/>
      <x:c r="I67" s="13" t="str"/>
      <x:c r="J67" s="13" t="str"/>
      <x:c r="K67" s="13" t="str"/>
      <x:c r="L67" s="13" t="str"/>
      <x:c r="M67" s="13" t="str"/>
      <x:c r="N67" s="13" t="str"/>
      <x:c r="O67" s="13" t="str"/>
      <x:c r="P67" s="13" t="str"/>
      <x:c r="Q67" s="13" t="str"/>
      <x:c r="R67" s="13" t="str"/>
      <x:c r="S67" s="13" t="str"/>
      <x:c r="T67" s="13" t="str"/>
      <x:c r="U67" s="13" t="str"/>
      <x:c r="V67" s="13" t="str"/>
      <x:c r="W67" s="13" t="n">
        <x:v>100</x:v>
      </x:c>
      <x:c r="X67" s="13" t="str">
        <x:f>IF(H67="","",H67-V67)</x:f>
      </x:c>
      <x:c r="Y67" s="13" t="str">
        <x:f>IF(R67="","",IF(OR(R67="Y",R67="Yes",R67="1"),"OK","NO"))</x:f>
      </x:c>
      <x:c r="Z67" s="13" t="str">
        <x:f>IF(S67="","",IF(OR(S67="Y",S67="Yes",S67="1"),"OK","NO"))</x:f>
      </x:c>
      <x:c r="AA67"/>
    </x:row>
    <x:row r="68">
      <x:c r="A68" s="13" t="str">
        <x:v>T06</x:v>
      </x:c>
      <x:c r="B68" s="13" t="str"/>
      <x:c r="C68" s="13" t="str">
        <x:v>L07</x:v>
      </x:c>
      <x:c r="D68" s="13" t="str">
        <x:v>02</x:v>
      </x:c>
      <x:c r="E68" s="13" t="n">
        <x:v>1</x:v>
      </x:c>
      <x:c r="F68" s="13" t="str"/>
      <x:c r="G68" s="13" t="str"/>
      <x:c r="H68" s="13" t="str"/>
      <x:c r="I68" s="13" t="str"/>
      <x:c r="J68" s="13" t="str"/>
      <x:c r="K68" s="13" t="str"/>
      <x:c r="L68" s="13" t="str"/>
      <x:c r="M68" s="13" t="str"/>
      <x:c r="N68" s="13" t="str"/>
      <x:c r="O68" s="13" t="str"/>
      <x:c r="P68" s="13" t="str"/>
      <x:c r="Q68" s="13" t="str"/>
      <x:c r="R68" s="13" t="str"/>
      <x:c r="S68" s="13" t="str"/>
      <x:c r="T68" s="13" t="str"/>
      <x:c r="U68" s="13" t="str"/>
      <x:c r="V68" s="13" t="str"/>
      <x:c r="W68" s="13" t="n">
        <x:v>115</x:v>
      </x:c>
      <x:c r="X68" s="13" t="str">
        <x:f>IF(H68="","",H68-V68)</x:f>
      </x:c>
      <x:c r="Y68" s="13" t="str">
        <x:f>IF(R68="","",IF(OR(R68="Y",R68="Yes",R68="1"),"OK","NO"))</x:f>
      </x:c>
      <x:c r="Z68" s="13" t="str">
        <x:f>IF(S68="","",IF(OR(S68="Y",S68="Yes",S68="1"),"OK","NO"))</x:f>
      </x:c>
      <x:c r="AA68"/>
    </x:row>
    <x:row r="69">
      <x:c r="A69" s="13" t="str">
        <x:v>T06</x:v>
      </x:c>
      <x:c r="B69" s="13" t="str"/>
      <x:c r="C69" s="13" t="str">
        <x:v>L08</x:v>
      </x:c>
      <x:c r="D69" s="13" t="str">
        <x:v>02</x:v>
      </x:c>
      <x:c r="E69" s="13" t="n">
        <x:v>1</x:v>
      </x:c>
      <x:c r="F69" s="13" t="str"/>
      <x:c r="G69" s="13" t="str"/>
      <x:c r="H69" s="13" t="str"/>
      <x:c r="I69" s="13" t="str"/>
      <x:c r="J69" s="13" t="str"/>
      <x:c r="K69" s="13" t="str"/>
      <x:c r="L69" s="13" t="str"/>
      <x:c r="M69" s="13" t="str"/>
      <x:c r="N69" s="13" t="str"/>
      <x:c r="O69" s="13" t="str"/>
      <x:c r="P69" s="13" t="str"/>
      <x:c r="Q69" s="13" t="str"/>
      <x:c r="R69" s="13" t="str"/>
      <x:c r="S69" s="13" t="str"/>
      <x:c r="T69" s="13" t="str"/>
      <x:c r="U69" s="13" t="str"/>
      <x:c r="V69" s="13" t="str"/>
      <x:c r="W69" s="13" t="n">
        <x:v>130</x:v>
      </x:c>
      <x:c r="X69" s="13" t="str">
        <x:f>IF(H69="","",H69-V69)</x:f>
      </x:c>
      <x:c r="Y69" s="13" t="str">
        <x:f>IF(R69="","",IF(OR(R69="Y",R69="Yes",R69="1"),"OK","NO"))</x:f>
      </x:c>
      <x:c r="Z69" s="13" t="str">
        <x:f>IF(S69="","",IF(OR(S69="Y",S69="Yes",S69="1"),"OK","NO"))</x:f>
      </x:c>
      <x:c r="AA69"/>
    </x:row>
    <x:row r="70">
      <x:c r="A70" s="13" t="str">
        <x:v>T06</x:v>
      </x:c>
      <x:c r="B70" s="13" t="str"/>
      <x:c r="C70" s="13" t="str">
        <x:v>L09</x:v>
      </x:c>
      <x:c r="D70" s="13" t="str">
        <x:v>03</x:v>
      </x:c>
      <x:c r="E70" s="13" t="n">
        <x:v>1</x:v>
      </x:c>
      <x:c r="F70" s="13" t="str"/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/>
      <x:c r="O70" s="13" t="str"/>
      <x:c r="P70" s="13" t="str"/>
      <x:c r="Q70" s="13" t="str"/>
      <x:c r="R70" s="13" t="str"/>
      <x:c r="S70" s="13" t="str"/>
      <x:c r="T70" s="13" t="str"/>
      <x:c r="U70" s="13" t="str"/>
      <x:c r="V70" s="13" t="str"/>
      <x:c r="W70" s="13" t="n">
        <x:v>110</x:v>
      </x:c>
      <x:c r="X70" s="13" t="str">
        <x:f>IF(H70="","",H70-V70)</x:f>
      </x:c>
      <x:c r="Y70" s="13" t="str">
        <x:f>IF(R70="","",IF(OR(R70="Y",R70="Yes",R70="1"),"OK","NO"))</x:f>
      </x:c>
      <x:c r="Z70" s="13" t="str">
        <x:f>IF(S70="","",IF(OR(S70="Y",S70="Yes",S70="1"),"OK","NO"))</x:f>
      </x:c>
      <x:c r="AA70"/>
    </x:row>
    <x:row r="71">
      <x:c r="A71" s="13" t="str">
        <x:v>T06</x:v>
      </x:c>
      <x:c r="B71" s="13" t="str"/>
      <x:c r="C71" s="13" t="str">
        <x:v>L10</x:v>
      </x:c>
      <x:c r="D71" s="13" t="str">
        <x:v>03</x:v>
      </x:c>
      <x:c r="E71" s="13" t="n">
        <x:v>1</x:v>
      </x:c>
      <x:c r="F71" s="13" t="str"/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/>
      <x:c r="R71" s="13" t="str"/>
      <x:c r="S71" s="13" t="str"/>
      <x:c r="T71" s="13" t="str"/>
      <x:c r="U71" s="13" t="str"/>
      <x:c r="V71" s="13" t="str"/>
      <x:c r="W71" s="13" t="n">
        <x:v>125</x:v>
      </x:c>
      <x:c r="X71" s="13" t="str">
        <x:f>IF(H71="","",H71-V71)</x:f>
      </x:c>
      <x:c r="Y71" s="13" t="str">
        <x:f>IF(R71="","",IF(OR(R71="Y",R71="Yes",R71="1"),"OK","NO"))</x:f>
      </x:c>
      <x:c r="Z71" s="13" t="str">
        <x:f>IF(S71="","",IF(OR(S71="Y",S71="Yes",S71="1"),"OK","NO"))</x:f>
      </x:c>
      <x:c r="AA71"/>
    </x:row>
    <x:row r="72">
      <x:c r="A72" s="13" t="str">
        <x:v>T06</x:v>
      </x:c>
      <x:c r="B72" s="13" t="str"/>
      <x:c r="C72" s="13" t="str">
        <x:v>L11</x:v>
      </x:c>
      <x:c r="D72" s="13" t="str">
        <x:v>03</x:v>
      </x:c>
      <x:c r="E72" s="13" t="n">
        <x:v>1</x:v>
      </x:c>
      <x:c r="F72" s="13" t="str"/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str"/>
      <x:c r="P72" s="13" t="str"/>
      <x:c r="Q72" s="13" t="str"/>
      <x:c r="R72" s="13" t="str"/>
      <x:c r="S72" s="13" t="str"/>
      <x:c r="T72" s="13" t="str"/>
      <x:c r="U72" s="13" t="str"/>
      <x:c r="V72" s="13" t="str"/>
      <x:c r="W72" s="13" t="n">
        <x:v>150</x:v>
      </x:c>
      <x:c r="X72" s="13" t="str">
        <x:f>IF(H72="","",H72-V72)</x:f>
      </x:c>
      <x:c r="Y72" s="13" t="str">
        <x:f>IF(R72="","",IF(OR(R72="Y",R72="Yes",R72="1"),"OK","NO"))</x:f>
      </x:c>
      <x:c r="Z72" s="13" t="str">
        <x:f>IF(S72="","",IF(OR(S72="Y",S72="Yes",S72="1"),"OK","NO"))</x:f>
      </x:c>
      <x:c r="AA72"/>
    </x:row>
    <x:row r="73">
      <x:c r="A73" s="13" t="str">
        <x:v>T06</x:v>
      </x:c>
      <x:c r="B73" s="13" t="str"/>
      <x:c r="C73" s="13" t="str">
        <x:v>L12</x:v>
      </x:c>
      <x:c r="D73" s="13" t="str">
        <x:v>03</x:v>
      </x:c>
      <x:c r="E73" s="13" t="n">
        <x:v>1</x:v>
      </x:c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3" t="str"/>
      <x:c r="S73" s="13" t="str"/>
      <x:c r="T73" s="13" t="str"/>
      <x:c r="U73" s="13" t="str"/>
      <x:c r="V73" s="13" t="str"/>
      <x:c r="W73" s="13" t="n">
        <x:v>180</x:v>
      </x:c>
      <x:c r="X73" s="13" t="str">
        <x:f>IF(H73="","",H73-V73)</x:f>
      </x:c>
      <x:c r="Y73" s="13" t="str">
        <x:f>IF(R73="","",IF(OR(R73="Y",R73="Yes",R73="1"),"OK","NO"))</x:f>
      </x:c>
      <x:c r="Z73" s="13" t="str">
        <x:f>IF(S73="","",IF(OR(S73="Y",S73="Yes",S73="1"),"OK","NO"))</x:f>
      </x:c>
      <x:c r="AA73"/>
    </x:row>
    <x:row r="74">
      <x:c r="A74" s="13" t="str">
        <x:v>T07</x:v>
      </x:c>
      <x:c r="B74" s="13" t="str"/>
      <x:c r="C74" s="13" t="str">
        <x:v>L01</x:v>
      </x:c>
      <x:c r="D74" s="13" t="str">
        <x:v>01</x:v>
      </x:c>
      <x:c r="E74" s="13" t="n">
        <x:v>1</x:v>
      </x:c>
      <x:c r="F74" s="13" t="str"/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/>
      <x:c r="R74" s="13" t="str"/>
      <x:c r="S74" s="13" t="str"/>
      <x:c r="T74" s="13" t="str"/>
      <x:c r="U74" s="13" t="str"/>
      <x:c r="V74" s="13" t="str"/>
      <x:c r="W74" s="13" t="n">
        <x:v>70</x:v>
      </x:c>
      <x:c r="X74" s="13" t="str">
        <x:f>IF(H74="","",H74-V74)</x:f>
      </x:c>
      <x:c r="Y74" s="13" t="str">
        <x:f>IF(R74="","",IF(OR(R74="Y",R74="Yes",R74="1"),"OK","NO"))</x:f>
      </x:c>
      <x:c r="Z74" s="13" t="str">
        <x:f>IF(S74="","",IF(OR(S74="Y",S74="Yes",S74="1"),"OK","NO"))</x:f>
      </x:c>
      <x:c r="AA74"/>
    </x:row>
    <x:row r="75">
      <x:c r="A75" s="13" t="str">
        <x:v>T07</x:v>
      </x:c>
      <x:c r="B75" s="13" t="str"/>
      <x:c r="C75" s="13" t="str">
        <x:v>L02</x:v>
      </x:c>
      <x:c r="D75" s="13" t="str">
        <x:v>01</x:v>
      </x:c>
      <x:c r="E75" s="13" t="n">
        <x:v>1</x:v>
      </x:c>
      <x:c r="F75" s="13" t="str"/>
      <x:c r="G75" s="13" t="str"/>
      <x:c r="H75" s="13" t="str"/>
      <x:c r="I75" s="13" t="str"/>
      <x:c r="J75" s="13" t="str"/>
      <x:c r="K75" s="13" t="str"/>
      <x:c r="L75" s="13" t="str"/>
      <x:c r="M75" s="13" t="str"/>
      <x:c r="N75" s="13" t="str"/>
      <x:c r="O75" s="13" t="str"/>
      <x:c r="P75" s="13" t="str"/>
      <x:c r="Q75" s="13" t="str"/>
      <x:c r="R75" s="13" t="str"/>
      <x:c r="S75" s="13" t="str"/>
      <x:c r="T75" s="13" t="str"/>
      <x:c r="U75" s="13" t="str"/>
      <x:c r="V75" s="13" t="str"/>
      <x:c r="W75" s="13" t="n">
        <x:v>65</x:v>
      </x:c>
      <x:c r="X75" s="13" t="str">
        <x:f>IF(H75="","",H75-V75)</x:f>
      </x:c>
      <x:c r="Y75" s="13" t="str">
        <x:f>IF(R75="","",IF(OR(R75="Y",R75="Yes",R75="1"),"OK","NO"))</x:f>
      </x:c>
      <x:c r="Z75" s="13" t="str">
        <x:f>IF(S75="","",IF(OR(S75="Y",S75="Yes",S75="1"),"OK","NO"))</x:f>
      </x:c>
      <x:c r="AA75"/>
    </x:row>
    <x:row r="76">
      <x:c r="A76" s="13" t="str">
        <x:v>T07</x:v>
      </x:c>
      <x:c r="B76" s="13" t="str"/>
      <x:c r="C76" s="13" t="str">
        <x:v>L03</x:v>
      </x:c>
      <x:c r="D76" s="13" t="str">
        <x:v>01</x:v>
      </x:c>
      <x:c r="E76" s="13" t="n">
        <x:v>1</x:v>
      </x:c>
      <x:c r="F76" s="13" t="str"/>
      <x:c r="G76" s="13" t="str"/>
      <x:c r="H76" s="13" t="str"/>
      <x:c r="I76" s="13" t="str"/>
      <x:c r="J76" s="13" t="str"/>
      <x:c r="K76" s="13" t="str"/>
      <x:c r="L76" s="13" t="str"/>
      <x:c r="M76" s="13" t="str"/>
      <x:c r="N76" s="13" t="str"/>
      <x:c r="O76" s="13" t="str"/>
      <x:c r="P76" s="13" t="str"/>
      <x:c r="Q76" s="13" t="str"/>
      <x:c r="R76" s="13" t="str"/>
      <x:c r="S76" s="13" t="str"/>
      <x:c r="T76" s="13" t="str"/>
      <x:c r="U76" s="13" t="str"/>
      <x:c r="V76" s="13" t="str"/>
      <x:c r="W76" s="13" t="n">
        <x:v>75</x:v>
      </x:c>
      <x:c r="X76" s="13" t="str">
        <x:f>IF(H76="","",H76-V76)</x:f>
      </x:c>
      <x:c r="Y76" s="13" t="str">
        <x:f>IF(R76="","",IF(OR(R76="Y",R76="Yes",R76="1"),"OK","NO"))</x:f>
      </x:c>
      <x:c r="Z76" s="13" t="str">
        <x:f>IF(S76="","",IF(OR(S76="Y",S76="Yes",S76="1"),"OK","NO"))</x:f>
      </x:c>
      <x:c r="AA76"/>
    </x:row>
    <x:row r="77">
      <x:c r="A77" s="13" t="str">
        <x:v>T07</x:v>
      </x:c>
      <x:c r="B77" s="13" t="str"/>
      <x:c r="C77" s="13" t="str">
        <x:v>L04</x:v>
      </x:c>
      <x:c r="D77" s="13" t="str">
        <x:v>01</x:v>
      </x:c>
      <x:c r="E77" s="13" t="n">
        <x:v>1</x:v>
      </x:c>
      <x:c r="F77" s="13" t="str"/>
      <x:c r="G77" s="13" t="str"/>
      <x:c r="H77" s="13" t="str"/>
      <x:c r="I77" s="13" t="str"/>
      <x:c r="J77" s="13" t="str"/>
      <x:c r="K77" s="13" t="str"/>
      <x:c r="L77" s="13" t="str"/>
      <x:c r="M77" s="13" t="str"/>
      <x:c r="N77" s="13" t="str"/>
      <x:c r="O77" s="13" t="str"/>
      <x:c r="P77" s="13" t="str"/>
      <x:c r="Q77" s="13" t="str"/>
      <x:c r="R77" s="13" t="str"/>
      <x:c r="S77" s="13" t="str"/>
      <x:c r="T77" s="13" t="str"/>
      <x:c r="U77" s="13" t="str"/>
      <x:c r="V77" s="13" t="str"/>
      <x:c r="W77" s="13" t="n">
        <x:v>80</x:v>
      </x:c>
      <x:c r="X77" s="13" t="str">
        <x:f>IF(H77="","",H77-V77)</x:f>
      </x:c>
      <x:c r="Y77" s="13" t="str">
        <x:f>IF(R77="","",IF(OR(R77="Y",R77="Yes",R77="1"),"OK","NO"))</x:f>
      </x:c>
      <x:c r="Z77" s="13" t="str">
        <x:f>IF(S77="","",IF(OR(S77="Y",S77="Yes",S77="1"),"OK","NO"))</x:f>
      </x:c>
      <x:c r="AA77"/>
    </x:row>
    <x:row r="78">
      <x:c r="A78" s="13" t="str">
        <x:v>T07</x:v>
      </x:c>
      <x:c r="B78" s="13" t="str"/>
      <x:c r="C78" s="13" t="str">
        <x:v>L05</x:v>
      </x:c>
      <x:c r="D78" s="13" t="str">
        <x:v>02</x:v>
      </x:c>
      <x:c r="E78" s="13" t="n">
        <x:v>1</x:v>
      </x:c>
      <x:c r="F78" s="13" t="str"/>
      <x:c r="G78" s="13" t="str"/>
      <x:c r="H78" s="13" t="str"/>
      <x:c r="I78" s="13" t="str"/>
      <x:c r="J78" s="13" t="str"/>
      <x:c r="K78" s="13" t="str"/>
      <x:c r="L78" s="13" t="str"/>
      <x:c r="M78" s="13" t="str"/>
      <x:c r="N78" s="13" t="str"/>
      <x:c r="O78" s="13" t="str"/>
      <x:c r="P78" s="13" t="str"/>
      <x:c r="Q78" s="13" t="str"/>
      <x:c r="R78" s="13" t="str"/>
      <x:c r="S78" s="13" t="str"/>
      <x:c r="T78" s="13" t="str"/>
      <x:c r="U78" s="13" t="str"/>
      <x:c r="V78" s="13" t="str"/>
      <x:c r="W78" s="13" t="n">
        <x:v>90</x:v>
      </x:c>
      <x:c r="X78" s="13" t="str">
        <x:f>IF(H78="","",H78-V78)</x:f>
      </x:c>
      <x:c r="Y78" s="13" t="str">
        <x:f>IF(R78="","",IF(OR(R78="Y",R78="Yes",R78="1"),"OK","NO"))</x:f>
      </x:c>
      <x:c r="Z78" s="13" t="str">
        <x:f>IF(S78="","",IF(OR(S78="Y",S78="Yes",S78="1"),"OK","NO"))</x:f>
      </x:c>
      <x:c r="AA78"/>
    </x:row>
    <x:row r="79">
      <x:c r="A79" s="13" t="str">
        <x:v>T07</x:v>
      </x:c>
      <x:c r="B79" s="13" t="str"/>
      <x:c r="C79" s="13" t="str">
        <x:v>L06</x:v>
      </x:c>
      <x:c r="D79" s="13" t="str">
        <x:v>02</x:v>
      </x:c>
      <x:c r="E79" s="13" t="n">
        <x:v>1</x:v>
      </x:c>
      <x:c r="F79" s="13" t="str"/>
      <x:c r="G79" s="13" t="str"/>
      <x:c r="H79" s="13" t="str"/>
      <x:c r="I79" s="13" t="str"/>
      <x:c r="J79" s="13" t="str"/>
      <x:c r="K79" s="13" t="str"/>
      <x:c r="L79" s="13" t="str"/>
      <x:c r="M79" s="13" t="str"/>
      <x:c r="N79" s="13" t="str"/>
      <x:c r="O79" s="13" t="str"/>
      <x:c r="P79" s="13" t="str"/>
      <x:c r="Q79" s="13" t="str"/>
      <x:c r="R79" s="13" t="str"/>
      <x:c r="S79" s="13" t="str"/>
      <x:c r="T79" s="13" t="str"/>
      <x:c r="U79" s="13" t="str"/>
      <x:c r="V79" s="13" t="str"/>
      <x:c r="W79" s="13" t="n">
        <x:v>100</x:v>
      </x:c>
      <x:c r="X79" s="13" t="str">
        <x:f>IF(H79="","",H79-V79)</x:f>
      </x:c>
      <x:c r="Y79" s="13" t="str">
        <x:f>IF(R79="","",IF(OR(R79="Y",R79="Yes",R79="1"),"OK","NO"))</x:f>
      </x:c>
      <x:c r="Z79" s="13" t="str">
        <x:f>IF(S79="","",IF(OR(S79="Y",S79="Yes",S79="1"),"OK","NO"))</x:f>
      </x:c>
      <x:c r="AA79"/>
    </x:row>
    <x:row r="80">
      <x:c r="A80" s="13" t="str">
        <x:v>T07</x:v>
      </x:c>
      <x:c r="B80" s="13" t="str"/>
      <x:c r="C80" s="13" t="str">
        <x:v>L07</x:v>
      </x:c>
      <x:c r="D80" s="13" t="str">
        <x:v>02</x:v>
      </x:c>
      <x:c r="E80" s="13" t="n">
        <x:v>1</x:v>
      </x:c>
      <x:c r="F80" s="13" t="str"/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/>
      <x:c r="O80" s="13" t="str"/>
      <x:c r="P80" s="13" t="str"/>
      <x:c r="Q80" s="13" t="str"/>
      <x:c r="R80" s="13" t="str"/>
      <x:c r="S80" s="13" t="str"/>
      <x:c r="T80" s="13" t="str"/>
      <x:c r="U80" s="13" t="str"/>
      <x:c r="V80" s="13" t="str"/>
      <x:c r="W80" s="13" t="n">
        <x:v>115</x:v>
      </x:c>
      <x:c r="X80" s="13" t="str">
        <x:f>IF(H80="","",H80-V80)</x:f>
      </x:c>
      <x:c r="Y80" s="13" t="str">
        <x:f>IF(R80="","",IF(OR(R80="Y",R80="Yes",R80="1"),"OK","NO"))</x:f>
      </x:c>
      <x:c r="Z80" s="13" t="str">
        <x:f>IF(S80="","",IF(OR(S80="Y",S80="Yes",S80="1"),"OK","NO"))</x:f>
      </x:c>
      <x:c r="AA80"/>
    </x:row>
    <x:row r="81">
      <x:c r="A81" s="13" t="str">
        <x:v>T07</x:v>
      </x:c>
      <x:c r="B81" s="13" t="str"/>
      <x:c r="C81" s="13" t="str">
        <x:v>L08</x:v>
      </x:c>
      <x:c r="D81" s="13" t="str">
        <x:v>02</x:v>
      </x:c>
      <x:c r="E81" s="13" t="n">
        <x:v>1</x:v>
      </x:c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/>
      <x:c r="R81" s="13" t="str"/>
      <x:c r="S81" s="13" t="str"/>
      <x:c r="T81" s="13" t="str"/>
      <x:c r="U81" s="13" t="str"/>
      <x:c r="V81" s="13" t="str"/>
      <x:c r="W81" s="13" t="n">
        <x:v>130</x:v>
      </x:c>
      <x:c r="X81" s="13" t="str">
        <x:f>IF(H81="","",H81-V81)</x:f>
      </x:c>
      <x:c r="Y81" s="13" t="str">
        <x:f>IF(R81="","",IF(OR(R81="Y",R81="Yes",R81="1"),"OK","NO"))</x:f>
      </x:c>
      <x:c r="Z81" s="13" t="str">
        <x:f>IF(S81="","",IF(OR(S81="Y",S81="Yes",S81="1"),"OK","NO"))</x:f>
      </x:c>
      <x:c r="AA81"/>
    </x:row>
    <x:row r="82">
      <x:c r="A82" s="13" t="str">
        <x:v>T07</x:v>
      </x:c>
      <x:c r="B82" s="13" t="str"/>
      <x:c r="C82" s="13" t="str">
        <x:v>L09</x:v>
      </x:c>
      <x:c r="D82" s="13" t="str">
        <x:v>03</x:v>
      </x:c>
      <x:c r="E82" s="13" t="n">
        <x:v>1</x:v>
      </x:c>
      <x:c r="F82" s="13" t="str"/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str"/>
      <x:c r="P82" s="13" t="str"/>
      <x:c r="Q82" s="13" t="str"/>
      <x:c r="R82" s="13" t="str"/>
      <x:c r="S82" s="13" t="str"/>
      <x:c r="T82" s="13" t="str"/>
      <x:c r="U82" s="13" t="str"/>
      <x:c r="V82" s="13" t="str"/>
      <x:c r="W82" s="13" t="n">
        <x:v>110</x:v>
      </x:c>
      <x:c r="X82" s="13" t="str">
        <x:f>IF(H82="","",H82-V82)</x:f>
      </x:c>
      <x:c r="Y82" s="13" t="str">
        <x:f>IF(R82="","",IF(OR(R82="Y",R82="Yes",R82="1"),"OK","NO"))</x:f>
      </x:c>
      <x:c r="Z82" s="13" t="str">
        <x:f>IF(S82="","",IF(OR(S82="Y",S82="Yes",S82="1"),"OK","NO"))</x:f>
      </x:c>
      <x:c r="AA82"/>
    </x:row>
    <x:row r="83">
      <x:c r="A83" s="13" t="str">
        <x:v>T07</x:v>
      </x:c>
      <x:c r="B83" s="13" t="str"/>
      <x:c r="C83" s="13" t="str">
        <x:v>L10</x:v>
      </x:c>
      <x:c r="D83" s="13" t="str">
        <x:v>03</x:v>
      </x:c>
      <x:c r="E83" s="13" t="n">
        <x:v>1</x:v>
      </x:c>
      <x:c r="F83" s="13" t="str"/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/>
      <x:c r="O83" s="13" t="str"/>
      <x:c r="P83" s="13" t="str"/>
      <x:c r="Q83" s="13" t="str"/>
      <x:c r="R83" s="13" t="str"/>
      <x:c r="S83" s="13" t="str"/>
      <x:c r="T83" s="13" t="str"/>
      <x:c r="U83" s="13" t="str"/>
      <x:c r="V83" s="13" t="str"/>
      <x:c r="W83" s="13" t="n">
        <x:v>125</x:v>
      </x:c>
      <x:c r="X83" s="13" t="str">
        <x:f>IF(H83="","",H83-V83)</x:f>
      </x:c>
      <x:c r="Y83" s="13" t="str">
        <x:f>IF(R83="","",IF(OR(R83="Y",R83="Yes",R83="1"),"OK","NO"))</x:f>
      </x:c>
      <x:c r="Z83" s="13" t="str">
        <x:f>IF(S83="","",IF(OR(S83="Y",S83="Yes",S83="1"),"OK","NO"))</x:f>
      </x:c>
      <x:c r="AA83"/>
    </x:row>
    <x:row r="84">
      <x:c r="A84" s="13" t="str">
        <x:v>T07</x:v>
      </x:c>
      <x:c r="B84" s="13" t="str"/>
      <x:c r="C84" s="13" t="str">
        <x:v>L11</x:v>
      </x:c>
      <x:c r="D84" s="13" t="str">
        <x:v>03</x:v>
      </x:c>
      <x:c r="E84" s="13" t="n">
        <x:v>1</x:v>
      </x:c>
      <x:c r="F84" s="13" t="str"/>
      <x:c r="G84" s="13" t="str"/>
      <x:c r="H84" s="13" t="str"/>
      <x:c r="I84" s="13" t="str"/>
      <x:c r="J84" s="13" t="str"/>
      <x:c r="K84" s="13" t="str"/>
      <x:c r="L84" s="13" t="str"/>
      <x:c r="M84" s="13" t="str"/>
      <x:c r="N84" s="13" t="str"/>
      <x:c r="O84" s="13" t="str"/>
      <x:c r="P84" s="13" t="str"/>
      <x:c r="Q84" s="13" t="str"/>
      <x:c r="R84" s="13" t="str"/>
      <x:c r="S84" s="13" t="str"/>
      <x:c r="T84" s="13" t="str"/>
      <x:c r="U84" s="13" t="str"/>
      <x:c r="V84" s="13" t="str"/>
      <x:c r="W84" s="13" t="n">
        <x:v>150</x:v>
      </x:c>
      <x:c r="X84" s="13" t="str">
        <x:f>IF(H84="","",H84-V84)</x:f>
      </x:c>
      <x:c r="Y84" s="13" t="str">
        <x:f>IF(R84="","",IF(OR(R84="Y",R84="Yes",R84="1"),"OK","NO"))</x:f>
      </x:c>
      <x:c r="Z84" s="13" t="str">
        <x:f>IF(S84="","",IF(OR(S84="Y",S84="Yes",S84="1"),"OK","NO"))</x:f>
      </x:c>
      <x:c r="AA84"/>
    </x:row>
    <x:row r="85">
      <x:c r="A85" s="13" t="str">
        <x:v>T07</x:v>
      </x:c>
      <x:c r="B85" s="13" t="str"/>
      <x:c r="C85" s="13" t="str">
        <x:v>L12</x:v>
      </x:c>
      <x:c r="D85" s="13" t="str">
        <x:v>03</x:v>
      </x:c>
      <x:c r="E85" s="13" t="n">
        <x:v>1</x:v>
      </x:c>
      <x:c r="F85" s="13" t="str"/>
      <x:c r="G85" s="13" t="str"/>
      <x:c r="H85" s="13" t="str"/>
      <x:c r="I85" s="13" t="str"/>
      <x:c r="J85" s="13" t="str"/>
      <x:c r="K85" s="13" t="str"/>
      <x:c r="L85" s="13" t="str"/>
      <x:c r="M85" s="13" t="str"/>
      <x:c r="N85" s="13" t="str"/>
      <x:c r="O85" s="13" t="str"/>
      <x:c r="P85" s="13" t="str"/>
      <x:c r="Q85" s="13" t="str"/>
      <x:c r="R85" s="13" t="str"/>
      <x:c r="S85" s="13" t="str"/>
      <x:c r="T85" s="13" t="str"/>
      <x:c r="U85" s="13" t="str"/>
      <x:c r="V85" s="13" t="str"/>
      <x:c r="W85" s="13" t="n">
        <x:v>180</x:v>
      </x:c>
      <x:c r="X85" s="13" t="str">
        <x:f>IF(H85="","",H85-V85)</x:f>
      </x:c>
      <x:c r="Y85" s="13" t="str">
        <x:f>IF(R85="","",IF(OR(R85="Y",R85="Yes",R85="1"),"OK","NO"))</x:f>
      </x:c>
      <x:c r="Z85" s="13" t="str">
        <x:f>IF(S85="","",IF(OR(S85="Y",S85="Yes",S85="1"),"OK","NO"))</x:f>
      </x:c>
      <x:c r="AA85"/>
    </x:row>
    <x:row r="86">
      <x:c r="A86" s="13" t="str">
        <x:v>T08</x:v>
      </x:c>
      <x:c r="B86" s="13" t="str"/>
      <x:c r="C86" s="13" t="str">
        <x:v>L01</x:v>
      </x:c>
      <x:c r="D86" s="13" t="str">
        <x:v>01</x:v>
      </x:c>
      <x:c r="E86" s="13" t="n">
        <x:v>1</x:v>
      </x:c>
      <x:c r="F86" s="13" t="str"/>
      <x:c r="G86" s="13" t="str"/>
      <x:c r="H86" s="13" t="str"/>
      <x:c r="I86" s="13" t="str"/>
      <x:c r="J86" s="13" t="str"/>
      <x:c r="K86" s="13" t="str"/>
      <x:c r="L86" s="13" t="str"/>
      <x:c r="M86" s="13" t="str"/>
      <x:c r="N86" s="13" t="str"/>
      <x:c r="O86" s="13" t="str"/>
      <x:c r="P86" s="13" t="str"/>
      <x:c r="Q86" s="13" t="str"/>
      <x:c r="R86" s="13" t="str"/>
      <x:c r="S86" s="13" t="str"/>
      <x:c r="T86" s="13" t="str"/>
      <x:c r="U86" s="13" t="str"/>
      <x:c r="V86" s="13" t="str"/>
      <x:c r="W86" s="13" t="n">
        <x:v>70</x:v>
      </x:c>
      <x:c r="X86" s="13" t="str">
        <x:f>IF(H86="","",H86-V86)</x:f>
      </x:c>
      <x:c r="Y86" s="13" t="str">
        <x:f>IF(R86="","",IF(OR(R86="Y",R86="Yes",R86="1"),"OK","NO"))</x:f>
      </x:c>
      <x:c r="Z86" s="13" t="str">
        <x:f>IF(S86="","",IF(OR(S86="Y",S86="Yes",S86="1"),"OK","NO"))</x:f>
      </x:c>
      <x:c r="AA86"/>
    </x:row>
    <x:row r="87">
      <x:c r="A87" s="13" t="str">
        <x:v>T08</x:v>
      </x:c>
      <x:c r="B87" s="13" t="str"/>
      <x:c r="C87" s="13" t="str">
        <x:v>L02</x:v>
      </x:c>
      <x:c r="D87" s="13" t="str">
        <x:v>01</x:v>
      </x:c>
      <x:c r="E87" s="13" t="n">
        <x:v>1</x:v>
      </x:c>
      <x:c r="F87" s="13" t="str"/>
      <x:c r="G87" s="13" t="str"/>
      <x:c r="H87" s="13" t="str"/>
      <x:c r="I87" s="13" t="str"/>
      <x:c r="J87" s="13" t="str"/>
      <x:c r="K87" s="13" t="str"/>
      <x:c r="L87" s="13" t="str"/>
      <x:c r="M87" s="13" t="str"/>
      <x:c r="N87" s="13" t="str"/>
      <x:c r="O87" s="13" t="str"/>
      <x:c r="P87" s="13" t="str"/>
      <x:c r="Q87" s="13" t="str"/>
      <x:c r="R87" s="13" t="str"/>
      <x:c r="S87" s="13" t="str"/>
      <x:c r="T87" s="13" t="str"/>
      <x:c r="U87" s="13" t="str"/>
      <x:c r="V87" s="13" t="str"/>
      <x:c r="W87" s="13" t="n">
        <x:v>65</x:v>
      </x:c>
      <x:c r="X87" s="13" t="str">
        <x:f>IF(H87="","",H87-V87)</x:f>
      </x:c>
      <x:c r="Y87" s="13" t="str">
        <x:f>IF(R87="","",IF(OR(R87="Y",R87="Yes",R87="1"),"OK","NO"))</x:f>
      </x:c>
      <x:c r="Z87" s="13" t="str">
        <x:f>IF(S87="","",IF(OR(S87="Y",S87="Yes",S87="1"),"OK","NO"))</x:f>
      </x:c>
      <x:c r="AA87"/>
    </x:row>
    <x:row r="88">
      <x:c r="A88" s="13" t="str">
        <x:v>T08</x:v>
      </x:c>
      <x:c r="B88" s="13" t="str"/>
      <x:c r="C88" s="13" t="str">
        <x:v>L03</x:v>
      </x:c>
      <x:c r="D88" s="13" t="str">
        <x:v>01</x:v>
      </x:c>
      <x:c r="E88" s="13" t="n">
        <x:v>1</x:v>
      </x:c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/>
      <x:c r="R88" s="13" t="str"/>
      <x:c r="S88" s="13" t="str"/>
      <x:c r="T88" s="13" t="str"/>
      <x:c r="U88" s="13" t="str"/>
      <x:c r="V88" s="13" t="str"/>
      <x:c r="W88" s="13" t="n">
        <x:v>75</x:v>
      </x:c>
      <x:c r="X88" s="13" t="str">
        <x:f>IF(H88="","",H88-V88)</x:f>
      </x:c>
      <x:c r="Y88" s="13" t="str">
        <x:f>IF(R88="","",IF(OR(R88="Y",R88="Yes",R88="1"),"OK","NO"))</x:f>
      </x:c>
      <x:c r="Z88" s="13" t="str">
        <x:f>IF(S88="","",IF(OR(S88="Y",S88="Yes",S88="1"),"OK","NO"))</x:f>
      </x:c>
      <x:c r="AA88"/>
    </x:row>
    <x:row r="89">
      <x:c r="A89" s="13" t="str">
        <x:v>T08</x:v>
      </x:c>
      <x:c r="B89" s="13" t="str"/>
      <x:c r="C89" s="13" t="str">
        <x:v>L04</x:v>
      </x:c>
      <x:c r="D89" s="13" t="str">
        <x:v>01</x:v>
      </x:c>
      <x:c r="E89" s="13" t="n">
        <x:v>1</x:v>
      </x:c>
      <x:c r="F89" s="13" t="str"/>
      <x:c r="G89" s="13" t="str"/>
      <x:c r="H89" s="13" t="str"/>
      <x:c r="I89" s="13" t="str"/>
      <x:c r="J89" s="13" t="str"/>
      <x:c r="K89" s="13" t="str"/>
      <x:c r="L89" s="13" t="str"/>
      <x:c r="M89" s="13" t="str"/>
      <x:c r="N89" s="13" t="str"/>
      <x:c r="O89" s="13" t="str"/>
      <x:c r="P89" s="13" t="str"/>
      <x:c r="Q89" s="13" t="str"/>
      <x:c r="R89" s="13" t="str"/>
      <x:c r="S89" s="13" t="str"/>
      <x:c r="T89" s="13" t="str"/>
      <x:c r="U89" s="13" t="str"/>
      <x:c r="V89" s="13" t="str"/>
      <x:c r="W89" s="13" t="n">
        <x:v>80</x:v>
      </x:c>
      <x:c r="X89" s="13" t="str">
        <x:f>IF(H89="","",H89-V89)</x:f>
      </x:c>
      <x:c r="Y89" s="13" t="str">
        <x:f>IF(R89="","",IF(OR(R89="Y",R89="Yes",R89="1"),"OK","NO"))</x:f>
      </x:c>
      <x:c r="Z89" s="13" t="str">
        <x:f>IF(S89="","",IF(OR(S89="Y",S89="Yes",S89="1"),"OK","NO"))</x:f>
      </x:c>
      <x:c r="AA89"/>
    </x:row>
    <x:row r="90">
      <x:c r="A90" s="13" t="str">
        <x:v>T08</x:v>
      </x:c>
      <x:c r="B90" s="13" t="str"/>
      <x:c r="C90" s="13" t="str">
        <x:v>L05</x:v>
      </x:c>
      <x:c r="D90" s="13" t="str">
        <x:v>02</x:v>
      </x:c>
      <x:c r="E90" s="13" t="n">
        <x:v>1</x:v>
      </x:c>
      <x:c r="F90" s="13" t="str"/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/>
      <x:c r="O90" s="13" t="str"/>
      <x:c r="P90" s="13" t="str"/>
      <x:c r="Q90" s="13" t="str"/>
      <x:c r="R90" s="13" t="str"/>
      <x:c r="S90" s="13" t="str"/>
      <x:c r="T90" s="13" t="str"/>
      <x:c r="U90" s="13" t="str"/>
      <x:c r="V90" s="13" t="str"/>
      <x:c r="W90" s="13" t="n">
        <x:v>90</x:v>
      </x:c>
      <x:c r="X90" s="13" t="str">
        <x:f>IF(H90="","",H90-V90)</x:f>
      </x:c>
      <x:c r="Y90" s="13" t="str">
        <x:f>IF(R90="","",IF(OR(R90="Y",R90="Yes",R90="1"),"OK","NO"))</x:f>
      </x:c>
      <x:c r="Z90" s="13" t="str">
        <x:f>IF(S90="","",IF(OR(S90="Y",S90="Yes",S90="1"),"OK","NO"))</x:f>
      </x:c>
      <x:c r="AA90"/>
    </x:row>
    <x:row r="91">
      <x:c r="A91" s="13" t="str">
        <x:v>T08</x:v>
      </x:c>
      <x:c r="B91" s="13" t="str"/>
      <x:c r="C91" s="13" t="str">
        <x:v>L06</x:v>
      </x:c>
      <x:c r="D91" s="13" t="str">
        <x:v>02</x:v>
      </x:c>
      <x:c r="E91" s="13" t="n">
        <x:v>1</x:v>
      </x:c>
      <x:c r="F91" s="13" t="str"/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str"/>
      <x:c r="P91" s="13" t="str"/>
      <x:c r="Q91" s="13" t="str"/>
      <x:c r="R91" s="13" t="str"/>
      <x:c r="S91" s="13" t="str"/>
      <x:c r="T91" s="13" t="str"/>
      <x:c r="U91" s="13" t="str"/>
      <x:c r="V91" s="13" t="str"/>
      <x:c r="W91" s="13" t="n">
        <x:v>100</x:v>
      </x:c>
      <x:c r="X91" s="13" t="str">
        <x:f>IF(H91="","",H91-V91)</x:f>
      </x:c>
      <x:c r="Y91" s="13" t="str">
        <x:f>IF(R91="","",IF(OR(R91="Y",R91="Yes",R91="1"),"OK","NO"))</x:f>
      </x:c>
      <x:c r="Z91" s="13" t="str">
        <x:f>IF(S91="","",IF(OR(S91="Y",S91="Yes",S91="1"),"OK","NO"))</x:f>
      </x:c>
      <x:c r="AA91"/>
    </x:row>
    <x:row r="92">
      <x:c r="A92" s="13" t="str">
        <x:v>T08</x:v>
      </x:c>
      <x:c r="B92" s="13" t="str"/>
      <x:c r="C92" s="13" t="str">
        <x:v>L07</x:v>
      </x:c>
      <x:c r="D92" s="13" t="str">
        <x:v>02</x:v>
      </x:c>
      <x:c r="E92" s="13" t="n">
        <x:v>1</x:v>
      </x:c>
      <x:c r="F92" s="13" t="str"/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str"/>
      <x:c r="P92" s="13" t="str"/>
      <x:c r="Q92" s="13" t="str"/>
      <x:c r="R92" s="13" t="str"/>
      <x:c r="S92" s="13" t="str"/>
      <x:c r="T92" s="13" t="str"/>
      <x:c r="U92" s="13" t="str"/>
      <x:c r="V92" s="13" t="str"/>
      <x:c r="W92" s="13" t="n">
        <x:v>115</x:v>
      </x:c>
      <x:c r="X92" s="13" t="str">
        <x:f>IF(H92="","",H92-V92)</x:f>
      </x:c>
      <x:c r="Y92" s="13" t="str">
        <x:f>IF(R92="","",IF(OR(R92="Y",R92="Yes",R92="1"),"OK","NO"))</x:f>
      </x:c>
      <x:c r="Z92" s="13" t="str">
        <x:f>IF(S92="","",IF(OR(S92="Y",S92="Yes",S92="1"),"OK","NO"))</x:f>
      </x:c>
      <x:c r="AA92"/>
    </x:row>
    <x:row r="93">
      <x:c r="A93" s="13" t="str">
        <x:v>T08</x:v>
      </x:c>
      <x:c r="B93" s="13" t="str"/>
      <x:c r="C93" s="13" t="str">
        <x:v>L08</x:v>
      </x:c>
      <x:c r="D93" s="13" t="str">
        <x:v>02</x:v>
      </x:c>
      <x:c r="E93" s="13" t="n">
        <x:v>1</x:v>
      </x:c>
      <x:c r="F93" s="13" t="str"/>
      <x:c r="G93" s="13" t="str"/>
      <x:c r="H93" s="13" t="str"/>
      <x:c r="I93" s="13" t="str"/>
      <x:c r="J93" s="13" t="str"/>
      <x:c r="K93" s="13" t="str"/>
      <x:c r="L93" s="13" t="str"/>
      <x:c r="M93" s="13" t="str"/>
      <x:c r="N93" s="13" t="str"/>
      <x:c r="O93" s="13" t="str"/>
      <x:c r="P93" s="13" t="str"/>
      <x:c r="Q93" s="13" t="str"/>
      <x:c r="R93" s="13" t="str"/>
      <x:c r="S93" s="13" t="str"/>
      <x:c r="T93" s="13" t="str"/>
      <x:c r="U93" s="13" t="str"/>
      <x:c r="V93" s="13" t="str"/>
      <x:c r="W93" s="13" t="n">
        <x:v>130</x:v>
      </x:c>
      <x:c r="X93" s="13" t="str">
        <x:f>IF(H93="","",H93-V93)</x:f>
      </x:c>
      <x:c r="Y93" s="13" t="str">
        <x:f>IF(R93="","",IF(OR(R93="Y",R93="Yes",R93="1"),"OK","NO"))</x:f>
      </x:c>
      <x:c r="Z93" s="13" t="str">
        <x:f>IF(S93="","",IF(OR(S93="Y",S93="Yes",S93="1"),"OK","NO"))</x:f>
      </x:c>
      <x:c r="AA93"/>
    </x:row>
    <x:row r="94">
      <x:c r="A94" s="13" t="str">
        <x:v>T08</x:v>
      </x:c>
      <x:c r="B94" s="13" t="str"/>
      <x:c r="C94" s="13" t="str">
        <x:v>L09</x:v>
      </x:c>
      <x:c r="D94" s="13" t="str">
        <x:v>03</x:v>
      </x:c>
      <x:c r="E94" s="13" t="n">
        <x:v>1</x:v>
      </x:c>
      <x:c r="F94" s="13" t="str"/>
      <x:c r="G94" s="13" t="str"/>
      <x:c r="H94" s="13" t="str"/>
      <x:c r="I94" s="13" t="str"/>
      <x:c r="J94" s="13" t="str"/>
      <x:c r="K94" s="13" t="str"/>
      <x:c r="L94" s="13" t="str"/>
      <x:c r="M94" s="13" t="str"/>
      <x:c r="N94" s="13" t="str"/>
      <x:c r="O94" s="13" t="str"/>
      <x:c r="P94" s="13" t="str"/>
      <x:c r="Q94" s="13" t="str"/>
      <x:c r="R94" s="13" t="str"/>
      <x:c r="S94" s="13" t="str"/>
      <x:c r="T94" s="13" t="str"/>
      <x:c r="U94" s="13" t="str"/>
      <x:c r="V94" s="13" t="str"/>
      <x:c r="W94" s="13" t="n">
        <x:v>110</x:v>
      </x:c>
      <x:c r="X94" s="13" t="str">
        <x:f>IF(H94="","",H94-V94)</x:f>
      </x:c>
      <x:c r="Y94" s="13" t="str">
        <x:f>IF(R94="","",IF(OR(R94="Y",R94="Yes",R94="1"),"OK","NO"))</x:f>
      </x:c>
      <x:c r="Z94" s="13" t="str">
        <x:f>IF(S94="","",IF(OR(S94="Y",S94="Yes",S94="1"),"OK","NO"))</x:f>
      </x:c>
      <x:c r="AA94"/>
    </x:row>
    <x:row r="95">
      <x:c r="A95" s="13" t="str">
        <x:v>T08</x:v>
      </x:c>
      <x:c r="B95" s="13" t="str"/>
      <x:c r="C95" s="13" t="str">
        <x:v>L10</x:v>
      </x:c>
      <x:c r="D95" s="13" t="str">
        <x:v>03</x:v>
      </x:c>
      <x:c r="E95" s="13" t="n">
        <x:v>1</x:v>
      </x:c>
      <x:c r="F95" s="13" t="str"/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/>
      <x:c r="O95" s="13" t="str"/>
      <x:c r="P95" s="13" t="str"/>
      <x:c r="Q95" s="13" t="str"/>
      <x:c r="R95" s="13" t="str"/>
      <x:c r="S95" s="13" t="str"/>
      <x:c r="T95" s="13" t="str"/>
      <x:c r="U95" s="13" t="str"/>
      <x:c r="V95" s="13" t="str"/>
      <x:c r="W95" s="13" t="n">
        <x:v>125</x:v>
      </x:c>
      <x:c r="X95" s="13" t="str">
        <x:f>IF(H95="","",H95-V95)</x:f>
      </x:c>
      <x:c r="Y95" s="13" t="str">
        <x:f>IF(R95="","",IF(OR(R95="Y",R95="Yes",R95="1"),"OK","NO"))</x:f>
      </x:c>
      <x:c r="Z95" s="13" t="str">
        <x:f>IF(S95="","",IF(OR(S95="Y",S95="Yes",S95="1"),"OK","NO"))</x:f>
      </x:c>
      <x:c r="AA95"/>
    </x:row>
    <x:row r="96">
      <x:c r="A96" s="13" t="str">
        <x:v>T08</x:v>
      </x:c>
      <x:c r="B96" s="13" t="str"/>
      <x:c r="C96" s="13" t="str">
        <x:v>L11</x:v>
      </x:c>
      <x:c r="D96" s="13" t="str">
        <x:v>03</x:v>
      </x:c>
      <x:c r="E96" s="13" t="n">
        <x:v>1</x:v>
      </x:c>
      <x:c r="F96" s="13" t="str"/>
      <x:c r="G96" s="13" t="str"/>
      <x:c r="H96" s="13" t="str"/>
      <x:c r="I96" s="13" t="str"/>
      <x:c r="J96" s="13" t="str"/>
      <x:c r="K96" s="13" t="str"/>
      <x:c r="L96" s="13" t="str"/>
      <x:c r="M96" s="13" t="str"/>
      <x:c r="N96" s="13" t="str"/>
      <x:c r="O96" s="13" t="str"/>
      <x:c r="P96" s="13" t="str"/>
      <x:c r="Q96" s="13" t="str"/>
      <x:c r="R96" s="13" t="str"/>
      <x:c r="S96" s="13" t="str"/>
      <x:c r="T96" s="13" t="str"/>
      <x:c r="U96" s="13" t="str"/>
      <x:c r="V96" s="13" t="str"/>
      <x:c r="W96" s="13" t="n">
        <x:v>150</x:v>
      </x:c>
      <x:c r="X96" s="13" t="str">
        <x:f>IF(H96="","",H96-V96)</x:f>
      </x:c>
      <x:c r="Y96" s="13" t="str">
        <x:f>IF(R96="","",IF(OR(R96="Y",R96="Yes",R96="1"),"OK","NO"))</x:f>
      </x:c>
      <x:c r="Z96" s="13" t="str">
        <x:f>IF(S96="","",IF(OR(S96="Y",S96="Yes",S96="1"),"OK","NO"))</x:f>
      </x:c>
      <x:c r="AA96"/>
    </x:row>
    <x:row r="97">
      <x:c r="A97" s="13" t="str">
        <x:v>T08</x:v>
      </x:c>
      <x:c r="B97" s="13" t="str"/>
      <x:c r="C97" s="13" t="str">
        <x:v>L12</x:v>
      </x:c>
      <x:c r="D97" s="13" t="str">
        <x:v>03</x:v>
      </x:c>
      <x:c r="E97" s="13" t="n">
        <x:v>1</x:v>
      </x:c>
      <x:c r="F97" s="13" t="str"/>
      <x:c r="G97" s="13" t="str"/>
      <x:c r="H97" s="13" t="str"/>
      <x:c r="I97" s="13" t="str"/>
      <x:c r="J97" s="13" t="str"/>
      <x:c r="K97" s="13" t="str"/>
      <x:c r="L97" s="13" t="str"/>
      <x:c r="M97" s="13" t="str"/>
      <x:c r="N97" s="13" t="str"/>
      <x:c r="O97" s="13" t="str"/>
      <x:c r="P97" s="13" t="str"/>
      <x:c r="Q97" s="13" t="str"/>
      <x:c r="R97" s="13" t="str"/>
      <x:c r="S97" s="13" t="str"/>
      <x:c r="T97" s="13" t="str"/>
      <x:c r="U97" s="13" t="str"/>
      <x:c r="V97" s="13" t="str"/>
      <x:c r="W97" s="13" t="n">
        <x:v>180</x:v>
      </x:c>
      <x:c r="X97" s="13" t="str">
        <x:f>IF(H97="","",H97-V97)</x:f>
      </x:c>
      <x:c r="Y97" s="13" t="str">
        <x:f>IF(R97="","",IF(OR(R97="Y",R97="Yes",R97="1"),"OK","NO"))</x:f>
      </x:c>
      <x:c r="Z97" s="13" t="str">
        <x:f>IF(S97="","",IF(OR(S97="Y",S97="Yes",S97="1"),"OK","NO"))</x:f>
      </x:c>
      <x:c r="AA97"/>
    </x:row>
  </x:sheetData>
  <x:conditionalFormatting sqref="X2:X97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9">
    <x:dataValidation type="list" sqref="F2:F97">
      <x:formula1>"SAFE,BALANCED,RISKY,UNKNOWN"</x:formula1>
    </x:dataValidation>
    <x:dataValidation type="list" sqref="G2:G97">
      <x:formula1>"Y,N"</x:formula1>
    </x:dataValidation>
    <x:dataValidation type="list" sqref="L2:L97">
      <x:formula1>"Y,N"</x:formula1>
    </x:dataValidation>
    <x:dataValidation type="list" sqref="M2:M97">
      <x:formula1>"Y,N"</x:formula1>
    </x:dataValidation>
    <x:dataValidation type="list" sqref="N2:N97">
      <x:formula1>"Y,N"</x:formula1>
    </x:dataValidation>
    <x:dataValidation type="list" sqref="R2:R97">
      <x:formula1>"Y,N"</x:formula1>
    </x:dataValidation>
    <x:dataValidation type="list" sqref="S2:S97">
      <x:formula1>"Y,N"</x:formula1>
    </x:dataValidation>
    <x:dataValidation type="list" sqref="T2:T97">
      <x:formula1>"Y,N"</x:formula1>
    </x:dataValidation>
    <x:dataValidation type="list" sqref="K2:K97">
      <x:formula1>"0,1,2,3"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9" hidden="0" customWidth="1"/>
    <x:col min="4" max="4" width="10" hidden="0" customWidth="1"/>
    <x:col min="5" max="5" width="18" hidden="0" customWidth="1"/>
    <x:col min="6" max="6" width="14" hidden="0" customWidth="1"/>
    <x:col min="7" max="7" width="18" hidden="0" customWidth="1"/>
    <x:col min="8" max="8" width="10" hidden="0" customWidth="1"/>
    <x:col min="9" max="9" width="12" hidden="0" customWidth="1"/>
    <x:col min="10" max="10" width="14" hidden="0" customWidth="1"/>
    <x:col min="11" max="11" width="13" hidden="0" customWidth="1"/>
    <x:col min="12" max="12" width="13" hidden="0" customWidth="1"/>
    <x:col min="13" max="13" width="15" hidden="0" customWidth="1"/>
    <x:col min="14" max="14" width="15" hidden="0" customWidth="1"/>
    <x:col min="15" max="15" width="16" hidden="0" customWidth="1"/>
    <x:col min="16" max="16" width="14" hidden="0" customWidth="1"/>
    <x:col min="17" max="17" width="14" hidden="0" customWidth="1"/>
    <x:col min="18" max="18" width="18" hidden="0" customWidth="1"/>
    <x:col min="19" max="19" width="30" hidden="0" customWidth="1"/>
  </x:cols>
  <x:sheetData>
    <x:row r="1">
      <x:c r="A1" s="18" t="str">
        <x:v>TesterID</x:v>
      </x:c>
      <x:c r="B1" s="18" t="str">
        <x:v>SessionID</x:v>
      </x:c>
      <x:c r="C1" s="18" t="str">
        <x:v>LevelID</x:v>
      </x:c>
      <x:c r="D1" s="18" t="str">
        <x:v>AttemptNo</x:v>
      </x:c>
      <x:c r="E1" s="18" t="str">
        <x:v>EventID</x:v>
      </x:c>
      <x:c r="F1" s="18" t="str">
        <x:v>EventType</x:v>
      </x:c>
      <x:c r="G1" s="18" t="str">
        <x:v>Action</x:v>
      </x:c>
      <x:c r="H1" s="18" t="str">
        <x:v>Success</x:v>
      </x:c>
      <x:c r="I1" s="18" t="str">
        <x:v>RiskLevel</x:v>
      </x:c>
      <x:c r="J1" s="18" t="str">
        <x:v>PlayerTimeSec</x:v>
      </x:c>
      <x:c r="K1" s="18" t="str">
        <x:v>NinjaHPBefore</x:v>
      </x:c>
      <x:c r="L1" s="18" t="str">
        <x:v>NinjaHPAfter</x:v>
      </x:c>
      <x:c r="M1" s="18" t="str">
        <x:v>SuspicionBefore</x:v>
      </x:c>
      <x:c r="N1" s="18" t="str">
        <x:v>SuspicionAfter</x:v>
      </x:c>
      <x:c r="O1" s="18" t="str">
        <x:v>CausedEventID</x:v>
      </x:c>
      <x:c r="P1" s="18" t="str">
        <x:v>ShortcutUsed</x:v>
      </x:c>
      <x:c r="Q1" s="18" t="str">
        <x:v>CarryItem</x:v>
      </x:c>
      <x:c r="R1" s="18" t="str">
        <x:v>FailCode</x:v>
      </x:c>
      <x:c r="S1" s="18" t="str">
        <x:v>Notes</x:v>
      </x:c>
    </x:row>
  </x:sheetData>
  <x:dataValidations count="3">
    <x:dataValidation type="list" sqref="H2:H200">
      <x:formula1>"Y,N"</x:formula1>
    </x:dataValidation>
    <x:dataValidation type="list" sqref="P2:P200">
      <x:formula1>"Y,N"</x:formula1>
    </x:dataValidation>
    <x:dataValidation type="list" sqref="I2:I200">
      <x:formula1>"SAFE,BALANCED,RISKY,UNKNOWN"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8" hidden="0" customWidth="1"/>
    <x:col min="4" max="4" width="8" hidden="0" customWidth="1"/>
    <x:col min="5" max="5" width="10" hidden="0" customWidth="1"/>
    <x:col min="6" max="6" width="12" hidden="0" customWidth="1"/>
    <x:col min="7" max="7" width="12" hidden="0" customWidth="1"/>
    <x:col min="8" max="8" width="15" hidden="0" customWidth="1"/>
    <x:col min="9" max="9" width="10" hidden="0" customWidth="1"/>
    <x:col min="10" max="10" width="12" hidden="0" customWidth="1"/>
    <x:col min="11" max="11" width="16" hidden="0" customWidth="1"/>
    <x:col min="12" max="12" width="17" hidden="0" customWidth="1"/>
    <x:col min="13" max="13" width="12" hidden="0" customWidth="1"/>
    <x:col min="14" max="14" width="18" hidden="0" customWidth="1"/>
    <x:col min="15" max="15" width="15" hidden="0" customWidth="1"/>
  </x:cols>
  <x:sheetData>
    <x:row r="1">
      <x:c r="A1" s="18" t="str">
        <x:v>LevelID</x:v>
      </x:c>
      <x:c r="B1" s="18" t="str">
        <x:v>Chapter</x:v>
      </x:c>
      <x:c r="C1" s="18" t="str">
        <x:v>CoreLearning</x:v>
      </x:c>
      <x:c r="D1" s="18" t="str">
        <x:v>N</x:v>
      </x:c>
      <x:c r="E1" s="18" t="str">
        <x:v>Clear%</x:v>
      </x:c>
      <x:c r="F1" s="18" t="str">
        <x:v>MedianTime</x:v>
      </x:c>
      <x:c r="G1" s="18" t="str">
        <x:v>MedianHP</x:v>
      </x:c>
      <x:c r="H1" s="18" t="str">
        <x:v>MedianSuspicion</x:v>
      </x:c>
      <x:c r="I1" s="18" t="str">
        <x:v>MedianPaw</x:v>
      </x:c>
      <x:c r="J1" s="18" t="str">
        <x:v>MedianRetry</x:v>
      </x:c>
      <x:c r="K1" s="18" t="str">
        <x:v>UnderstoodCore%</x:v>
      </x:c>
      <x:c r="L1" s="18" t="str">
        <x:v>ChangedStrategy%</x:v>
      </x:c>
      <x:c r="M1" s="18" t="str">
        <x:v>RouteVariety</x:v>
      </x:c>
      <x:c r="N1" s="18" t="str">
        <x:v>TopFailCode</x:v>
      </x:c>
      <x:c r="O1" s="18" t="str">
        <x:v>TimeTargetUpper</x:v>
      </x:c>
    </x:row>
    <x:row r="2">
      <x:c r="A2" s="13" t="str">
        <x:v>L01</x:v>
      </x:c>
      <x:c r="B2" s="13" t="str">
        <x:v>01</x:v>
      </x:c>
      <x:c r="C2" s="13" t="str">
        <x:v>提前处理</x:v>
      </x:c>
      <x:c r="D2" s="13" t="n">
        <x:f>COUNTIF(Run_Log!$C$2:$C$97,A2)</x:f>
        <x:v>8</x:v>
      </x:c>
      <x:c r="E2" s="24" t="n">
        <x:f>IFERROR(COUNTIFS(Run_Log!$C$2:$C$97,A2,Run_Log!$G$2:$G$97,"Y")/D2,0)</x:f>
        <x:v>0</x:v>
      </x:c>
      <x:c r="F2" s="13" t="str">
        <x:f>IFERROR(AVERAGEIF(Run_Log!$C$2:$C$97,A2,Run_Log!$H$2:$H$97),"")</x:f>
      </x:c>
      <x:c r="G2" s="13" t="str">
        <x:f>IFERROR(AVERAGEIF(Run_Log!$C$2:$C$97,A2,Run_Log!$I$2:$I$97),"")</x:f>
      </x:c>
      <x:c r="H2" s="13" t="str">
        <x:f>IFERROR(AVERAGEIF(Run_Log!$C$2:$C$97,A2,Run_Log!$J$2:$J$97),"")</x:f>
      </x:c>
      <x:c r="I2" s="13" t="str">
        <x:f>IFERROR(AVERAGEIF(Run_Log!$C$2:$C$97,A2,Run_Log!$K$2:$K$97),"")</x:f>
      </x:c>
      <x:c r="J2" s="13" t="str">
        <x:f>IFERROR(AVERAGEIF(Run_Log!$C$2:$C$97,A2,Run_Log!$Q$2:$Q$97),"")</x:f>
      </x:c>
      <x:c r="K2" s="24" t="n">
        <x:f>IFERROR(COUNTIFS(Run_Log!$C$2:$C$97,A2,Run_Log!$R$2:$R$97,"Y")/D2,0)</x:f>
        <x:v>0</x:v>
      </x:c>
      <x:c r="L2" s="24" t="n">
        <x:f>IFERROR(COUNTIFS(Run_Log!$C$2:$C$97,A2,Run_Log!$S$2:$S$97,"Y")/D2,0)</x:f>
        <x:v>0</x:v>
      </x:c>
      <x:c r="M2" s="13" t="n">
        <x:f>COUNTIFS(Run_Log!$C$2:$C$97,A2,Run_Log!$F$2:$F$97,"SAFE")+COUNTIFS(Run_Log!$C$2:$C$97,A2,Run_Log!$F$2:$F$97,"BALANCED")+COUNTIFS(Run_Log!$C$2:$C$97,A2,Run_Log!$F$2:$F$97,"RISKY")</x:f>
        <x:v>0</x:v>
      </x:c>
      <x:c r="N2" s="13"/>
      <x:c r="O2" s="13" t="n">
        <x:v>70</x:v>
      </x:c>
    </x:row>
    <x:row r="3">
      <x:c r="A3" s="13" t="str">
        <x:v>L02</x:v>
      </x:c>
      <x:c r="B3" s="13" t="str">
        <x:v>01</x:v>
      </x:c>
      <x:c r="C3" s="13" t="str">
        <x:v>连续赶场</x:v>
      </x:c>
      <x:c r="D3" s="13" t="n">
        <x:f>COUNTIF(Run_Log!$C$2:$C$97,A3)</x:f>
        <x:v>8</x:v>
      </x:c>
      <x:c r="E3" s="24" t="n">
        <x:f>IFERROR(COUNTIFS(Run_Log!$C$2:$C$97,A3,Run_Log!$G$2:$G$97,"Y")/D3,0)</x:f>
        <x:v>0</x:v>
      </x:c>
      <x:c r="F3" s="13" t="str">
        <x:f>IFERROR(AVERAGEIF(Run_Log!$C$2:$C$97,A3,Run_Log!$H$2:$H$97),"")</x:f>
      </x:c>
      <x:c r="G3" s="13" t="str">
        <x:f>IFERROR(AVERAGEIF(Run_Log!$C$2:$C$97,A3,Run_Log!$I$2:$I$97),"")</x:f>
      </x:c>
      <x:c r="H3" s="13" t="str">
        <x:f>IFERROR(AVERAGEIF(Run_Log!$C$2:$C$97,A3,Run_Log!$J$2:$J$97),"")</x:f>
      </x:c>
      <x:c r="I3" s="13" t="str">
        <x:f>IFERROR(AVERAGEIF(Run_Log!$C$2:$C$97,A3,Run_Log!$K$2:$K$97),"")</x:f>
      </x:c>
      <x:c r="J3" s="13" t="str">
        <x:f>IFERROR(AVERAGEIF(Run_Log!$C$2:$C$97,A3,Run_Log!$Q$2:$Q$97),"")</x:f>
      </x:c>
      <x:c r="K3" s="24" t="n">
        <x:f>IFERROR(COUNTIFS(Run_Log!$C$2:$C$97,A3,Run_Log!$R$2:$R$97,"Y")/D3,0)</x:f>
        <x:v>0</x:v>
      </x:c>
      <x:c r="L3" s="24" t="n">
        <x:f>IFERROR(COUNTIFS(Run_Log!$C$2:$C$97,A3,Run_Log!$S$2:$S$97,"Y")/D3,0)</x:f>
        <x:v>0</x:v>
      </x:c>
      <x:c r="M3" s="13" t="n">
        <x:f>COUNTIFS(Run_Log!$C$2:$C$97,A3,Run_Log!$F$2:$F$97,"SAFE")+COUNTIFS(Run_Log!$C$2:$C$97,A3,Run_Log!$F$2:$F$97,"BALANCED")+COUNTIFS(Run_Log!$C$2:$C$97,A3,Run_Log!$F$2:$F$97,"RISKY")</x:f>
        <x:v>0</x:v>
      </x:c>
      <x:c r="N3" s="13"/>
      <x:c r="O3" s="13" t="n">
        <x:v>65</x:v>
      </x:c>
    </x:row>
    <x:row r="4">
      <x:c r="A4" s="13" t="str">
        <x:v>L03</x:v>
      </x:c>
      <x:c r="B4" s="13" t="str">
        <x:v>01</x:v>
      </x:c>
      <x:c r="C4" s="13" t="str">
        <x:v>怀疑与卖萌</x:v>
      </x:c>
      <x:c r="D4" s="13" t="n">
        <x:f>COUNTIF(Run_Log!$C$2:$C$97,A4)</x:f>
        <x:v>8</x:v>
      </x:c>
      <x:c r="E4" s="24" t="n">
        <x:f>IFERROR(COUNTIFS(Run_Log!$C$2:$C$97,A4,Run_Log!$G$2:$G$97,"Y")/D4,0)</x:f>
        <x:v>0</x:v>
      </x:c>
      <x:c r="F4" s="13" t="str">
        <x:f>IFERROR(AVERAGEIF(Run_Log!$C$2:$C$97,A4,Run_Log!$H$2:$H$97),"")</x:f>
      </x:c>
      <x:c r="G4" s="13" t="str">
        <x:f>IFERROR(AVERAGEIF(Run_Log!$C$2:$C$97,A4,Run_Log!$I$2:$I$97),"")</x:f>
      </x:c>
      <x:c r="H4" s="13" t="str">
        <x:f>IFERROR(AVERAGEIF(Run_Log!$C$2:$C$97,A4,Run_Log!$J$2:$J$97),"")</x:f>
      </x:c>
      <x:c r="I4" s="13" t="str">
        <x:f>IFERROR(AVERAGEIF(Run_Log!$C$2:$C$97,A4,Run_Log!$K$2:$K$97),"")</x:f>
      </x:c>
      <x:c r="J4" s="13" t="str">
        <x:f>IFERROR(AVERAGEIF(Run_Log!$C$2:$C$97,A4,Run_Log!$Q$2:$Q$97),"")</x:f>
      </x:c>
      <x:c r="K4" s="24" t="n">
        <x:f>IFERROR(COUNTIFS(Run_Log!$C$2:$C$97,A4,Run_Log!$R$2:$R$97,"Y")/D4,0)</x:f>
        <x:v>0</x:v>
      </x:c>
      <x:c r="L4" s="24" t="n">
        <x:f>IFERROR(COUNTIFS(Run_Log!$C$2:$C$97,A4,Run_Log!$S$2:$S$97,"Y")/D4,0)</x:f>
        <x:v>0</x:v>
      </x:c>
      <x:c r="M4" s="13" t="n">
        <x:f>COUNTIFS(Run_Log!$C$2:$C$97,A4,Run_Log!$F$2:$F$97,"SAFE")+COUNTIFS(Run_Log!$C$2:$C$97,A4,Run_Log!$F$2:$F$97,"BALANCED")+COUNTIFS(Run_Log!$C$2:$C$97,A4,Run_Log!$F$2:$F$97,"RISKY")</x:f>
        <x:v>0</x:v>
      </x:c>
      <x:c r="N4" s="13"/>
      <x:c r="O4" s="13" t="n">
        <x:v>75</x:v>
      </x:c>
    </x:row>
    <x:row r="5">
      <x:c r="A5" s="13" t="str">
        <x:v>L04</x:v>
      </x:c>
      <x:c r="B5" s="13" t="str">
        <x:v>01</x:v>
      </x:c>
      <x:c r="C5" s="13" t="str">
        <x:v>事件排序</x:v>
      </x:c>
      <x:c r="D5" s="13" t="n">
        <x:f>COUNTIF(Run_Log!$C$2:$C$97,A5)</x:f>
        <x:v>8</x:v>
      </x:c>
      <x:c r="E5" s="24" t="n">
        <x:f>IFERROR(COUNTIFS(Run_Log!$C$2:$C$97,A5,Run_Log!$G$2:$G$97,"Y")/D5,0)</x:f>
        <x:v>0</x:v>
      </x:c>
      <x:c r="F5" s="13" t="str">
        <x:f>IFERROR(AVERAGEIF(Run_Log!$C$2:$C$97,A5,Run_Log!$H$2:$H$97),"")</x:f>
      </x:c>
      <x:c r="G5" s="13" t="str">
        <x:f>IFERROR(AVERAGEIF(Run_Log!$C$2:$C$97,A5,Run_Log!$I$2:$I$97),"")</x:f>
      </x:c>
      <x:c r="H5" s="13" t="str">
        <x:f>IFERROR(AVERAGEIF(Run_Log!$C$2:$C$97,A5,Run_Log!$J$2:$J$97),"")</x:f>
      </x:c>
      <x:c r="I5" s="13" t="str">
        <x:f>IFERROR(AVERAGEIF(Run_Log!$C$2:$C$97,A5,Run_Log!$K$2:$K$97),"")</x:f>
      </x:c>
      <x:c r="J5" s="13" t="str">
        <x:f>IFERROR(AVERAGEIF(Run_Log!$C$2:$C$97,A5,Run_Log!$Q$2:$Q$97),"")</x:f>
      </x:c>
      <x:c r="K5" s="24" t="n">
        <x:f>IFERROR(COUNTIFS(Run_Log!$C$2:$C$97,A5,Run_Log!$R$2:$R$97,"Y")/D5,0)</x:f>
        <x:v>0</x:v>
      </x:c>
      <x:c r="L5" s="24" t="n">
        <x:f>IFERROR(COUNTIFS(Run_Log!$C$2:$C$97,A5,Run_Log!$S$2:$S$97,"Y")/D5,0)</x:f>
        <x:v>0</x:v>
      </x:c>
      <x:c r="M5" s="13" t="n">
        <x:f>COUNTIFS(Run_Log!$C$2:$C$97,A5,Run_Log!$F$2:$F$97,"SAFE")+COUNTIFS(Run_Log!$C$2:$C$97,A5,Run_Log!$F$2:$F$97,"BALANCED")+COUNTIFS(Run_Log!$C$2:$C$97,A5,Run_Log!$F$2:$F$97,"RISKY")</x:f>
        <x:v>0</x:v>
      </x:c>
      <x:c r="N5" s="13"/>
      <x:c r="O5" s="13" t="n">
        <x:v>80</x:v>
      </x:c>
    </x:row>
    <x:row r="6">
      <x:c r="A6" s="13" t="str">
        <x:v>L05</x:v>
      </x:c>
      <x:c r="B6" s="13" t="str">
        <x:v>02</x:v>
      </x:c>
      <x:c r="C6" s="13" t="str">
        <x:v>搬运</x:v>
      </x:c>
      <x:c r="D6" s="13" t="n">
        <x:f>COUNTIF(Run_Log!$C$2:$C$97,A6)</x:f>
        <x:v>8</x:v>
      </x:c>
      <x:c r="E6" s="24" t="n">
        <x:f>IFERROR(COUNTIFS(Run_Log!$C$2:$C$97,A6,Run_Log!$G$2:$G$97,"Y")/D6,0)</x:f>
        <x:v>0</x:v>
      </x:c>
      <x:c r="F6" s="13" t="str">
        <x:f>IFERROR(AVERAGEIF(Run_Log!$C$2:$C$97,A6,Run_Log!$H$2:$H$97),"")</x:f>
      </x:c>
      <x:c r="G6" s="13" t="str">
        <x:f>IFERROR(AVERAGEIF(Run_Log!$C$2:$C$97,A6,Run_Log!$I$2:$I$97),"")</x:f>
      </x:c>
      <x:c r="H6" s="13" t="str">
        <x:f>IFERROR(AVERAGEIF(Run_Log!$C$2:$C$97,A6,Run_Log!$J$2:$J$97),"")</x:f>
      </x:c>
      <x:c r="I6" s="13" t="str">
        <x:f>IFERROR(AVERAGEIF(Run_Log!$C$2:$C$97,A6,Run_Log!$K$2:$K$97),"")</x:f>
      </x:c>
      <x:c r="J6" s="13" t="str">
        <x:f>IFERROR(AVERAGEIF(Run_Log!$C$2:$C$97,A6,Run_Log!$Q$2:$Q$97),"")</x:f>
      </x:c>
      <x:c r="K6" s="24" t="n">
        <x:f>IFERROR(COUNTIFS(Run_Log!$C$2:$C$97,A6,Run_Log!$R$2:$R$97,"Y")/D6,0)</x:f>
        <x:v>0</x:v>
      </x:c>
      <x:c r="L6" s="24" t="n">
        <x:f>IFERROR(COUNTIFS(Run_Log!$C$2:$C$97,A6,Run_Log!$S$2:$S$97,"Y")/D6,0)</x:f>
        <x:v>0</x:v>
      </x:c>
      <x:c r="M6" s="13" t="n">
        <x:f>COUNTIFS(Run_Log!$C$2:$C$97,A6,Run_Log!$F$2:$F$97,"SAFE")+COUNTIFS(Run_Log!$C$2:$C$97,A6,Run_Log!$F$2:$F$97,"BALANCED")+COUNTIFS(Run_Log!$C$2:$C$97,A6,Run_Log!$F$2:$F$97,"RISKY")</x:f>
        <x:v>0</x:v>
      </x:c>
      <x:c r="N6" s="13"/>
      <x:c r="O6" s="13" t="n">
        <x:v>90</x:v>
      </x:c>
    </x:row>
    <x:row r="7">
      <x:c r="A7" s="13" t="str">
        <x:v>L06</x:v>
      </x:c>
      <x:c r="B7" s="13" t="str">
        <x:v>02</x:v>
      </x:c>
      <x:c r="C7" s="13" t="str">
        <x:v>NPC联动</x:v>
      </x:c>
      <x:c r="D7" s="13" t="n">
        <x:f>COUNTIF(Run_Log!$C$2:$C$97,A7)</x:f>
        <x:v>8</x:v>
      </x:c>
      <x:c r="E7" s="24" t="n">
        <x:f>IFERROR(COUNTIFS(Run_Log!$C$2:$C$97,A7,Run_Log!$G$2:$G$97,"Y")/D7,0)</x:f>
        <x:v>0</x:v>
      </x:c>
      <x:c r="F7" s="13" t="str">
        <x:f>IFERROR(AVERAGEIF(Run_Log!$C$2:$C$97,A7,Run_Log!$H$2:$H$97),"")</x:f>
      </x:c>
      <x:c r="G7" s="13" t="str">
        <x:f>IFERROR(AVERAGEIF(Run_Log!$C$2:$C$97,A7,Run_Log!$I$2:$I$97),"")</x:f>
      </x:c>
      <x:c r="H7" s="13" t="str">
        <x:f>IFERROR(AVERAGEIF(Run_Log!$C$2:$C$97,A7,Run_Log!$J$2:$J$97),"")</x:f>
      </x:c>
      <x:c r="I7" s="13" t="str">
        <x:f>IFERROR(AVERAGEIF(Run_Log!$C$2:$C$97,A7,Run_Log!$K$2:$K$97),"")</x:f>
      </x:c>
      <x:c r="J7" s="13" t="str">
        <x:f>IFERROR(AVERAGEIF(Run_Log!$C$2:$C$97,A7,Run_Log!$Q$2:$Q$97),"")</x:f>
      </x:c>
      <x:c r="K7" s="24" t="n">
        <x:f>IFERROR(COUNTIFS(Run_Log!$C$2:$C$97,A7,Run_Log!$R$2:$R$97,"Y")/D7,0)</x:f>
        <x:v>0</x:v>
      </x:c>
      <x:c r="L7" s="24" t="n">
        <x:f>IFERROR(COUNTIFS(Run_Log!$C$2:$C$97,A7,Run_Log!$S$2:$S$97,"Y")/D7,0)</x:f>
        <x:v>0</x:v>
      </x:c>
      <x:c r="M7" s="13" t="n">
        <x:f>COUNTIFS(Run_Log!$C$2:$C$97,A7,Run_Log!$F$2:$F$97,"SAFE")+COUNTIFS(Run_Log!$C$2:$C$97,A7,Run_Log!$F$2:$F$97,"BALANCED")+COUNTIFS(Run_Log!$C$2:$C$97,A7,Run_Log!$F$2:$F$97,"RISKY")</x:f>
        <x:v>0</x:v>
      </x:c>
      <x:c r="N7" s="13"/>
      <x:c r="O7" s="13" t="n">
        <x:v>100</x:v>
      </x:c>
    </x:row>
    <x:row r="8">
      <x:c r="A8" s="13" t="str">
        <x:v>L07</x:v>
      </x:c>
      <x:c r="B8" s="13" t="str">
        <x:v>02</x:v>
      </x:c>
      <x:c r="C8" s="13" t="str">
        <x:v>因果顺序</x:v>
      </x:c>
      <x:c r="D8" s="13" t="n">
        <x:f>COUNTIF(Run_Log!$C$2:$C$97,A8)</x:f>
        <x:v>8</x:v>
      </x:c>
      <x:c r="E8" s="24" t="n">
        <x:f>IFERROR(COUNTIFS(Run_Log!$C$2:$C$97,A8,Run_Log!$G$2:$G$97,"Y")/D8,0)</x:f>
        <x:v>0</x:v>
      </x:c>
      <x:c r="F8" s="13" t="str">
        <x:f>IFERROR(AVERAGEIF(Run_Log!$C$2:$C$97,A8,Run_Log!$H$2:$H$97),"")</x:f>
      </x:c>
      <x:c r="G8" s="13" t="str">
        <x:f>IFERROR(AVERAGEIF(Run_Log!$C$2:$C$97,A8,Run_Log!$I$2:$I$97),"")</x:f>
      </x:c>
      <x:c r="H8" s="13" t="str">
        <x:f>IFERROR(AVERAGEIF(Run_Log!$C$2:$C$97,A8,Run_Log!$J$2:$J$97),"")</x:f>
      </x:c>
      <x:c r="I8" s="13" t="str">
        <x:f>IFERROR(AVERAGEIF(Run_Log!$C$2:$C$97,A8,Run_Log!$K$2:$K$97),"")</x:f>
      </x:c>
      <x:c r="J8" s="13" t="str">
        <x:f>IFERROR(AVERAGEIF(Run_Log!$C$2:$C$97,A8,Run_Log!$Q$2:$Q$97),"")</x:f>
      </x:c>
      <x:c r="K8" s="24" t="n">
        <x:f>IFERROR(COUNTIFS(Run_Log!$C$2:$C$97,A8,Run_Log!$R$2:$R$97,"Y")/D8,0)</x:f>
        <x:v>0</x:v>
      </x:c>
      <x:c r="L8" s="24" t="n">
        <x:f>IFERROR(COUNTIFS(Run_Log!$C$2:$C$97,A8,Run_Log!$S$2:$S$97,"Y")/D8,0)</x:f>
        <x:v>0</x:v>
      </x:c>
      <x:c r="M8" s="13" t="n">
        <x:f>COUNTIFS(Run_Log!$C$2:$C$97,A8,Run_Log!$F$2:$F$97,"SAFE")+COUNTIFS(Run_Log!$C$2:$C$97,A8,Run_Log!$F$2:$F$97,"BALANCED")+COUNTIFS(Run_Log!$C$2:$C$97,A8,Run_Log!$F$2:$F$97,"RISKY")</x:f>
        <x:v>0</x:v>
      </x:c>
      <x:c r="N8" s="13"/>
      <x:c r="O8" s="13" t="n">
        <x:v>115</x:v>
      </x:c>
    </x:row>
    <x:row r="9">
      <x:c r="A9" s="13" t="str">
        <x:v>L08</x:v>
      </x:c>
      <x:c r="B9" s="13" t="str">
        <x:v>02</x:v>
      </x:c>
      <x:c r="C9" s="13" t="str">
        <x:v>多线程规划</x:v>
      </x:c>
      <x:c r="D9" s="13" t="n">
        <x:f>COUNTIF(Run_Log!$C$2:$C$97,A9)</x:f>
        <x:v>8</x:v>
      </x:c>
      <x:c r="E9" s="24" t="n">
        <x:f>IFERROR(COUNTIFS(Run_Log!$C$2:$C$97,A9,Run_Log!$G$2:$G$97,"Y")/D9,0)</x:f>
        <x:v>0</x:v>
      </x:c>
      <x:c r="F9" s="13" t="str">
        <x:f>IFERROR(AVERAGEIF(Run_Log!$C$2:$C$97,A9,Run_Log!$H$2:$H$97),"")</x:f>
      </x:c>
      <x:c r="G9" s="13" t="str">
        <x:f>IFERROR(AVERAGEIF(Run_Log!$C$2:$C$97,A9,Run_Log!$I$2:$I$97),"")</x:f>
      </x:c>
      <x:c r="H9" s="13" t="str">
        <x:f>IFERROR(AVERAGEIF(Run_Log!$C$2:$C$97,A9,Run_Log!$J$2:$J$97),"")</x:f>
      </x:c>
      <x:c r="I9" s="13" t="str">
        <x:f>IFERROR(AVERAGEIF(Run_Log!$C$2:$C$97,A9,Run_Log!$K$2:$K$97),"")</x:f>
      </x:c>
      <x:c r="J9" s="13" t="str">
        <x:f>IFERROR(AVERAGEIF(Run_Log!$C$2:$C$97,A9,Run_Log!$Q$2:$Q$97),"")</x:f>
      </x:c>
      <x:c r="K9" s="24" t="n">
        <x:f>IFERROR(COUNTIFS(Run_Log!$C$2:$C$97,A9,Run_Log!$R$2:$R$97,"Y")/D9,0)</x:f>
        <x:v>0</x:v>
      </x:c>
      <x:c r="L9" s="24" t="n">
        <x:f>IFERROR(COUNTIFS(Run_Log!$C$2:$C$97,A9,Run_Log!$S$2:$S$97,"Y")/D9,0)</x:f>
        <x:v>0</x:v>
      </x:c>
      <x:c r="M9" s="13" t="n">
        <x:f>COUNTIFS(Run_Log!$C$2:$C$97,A9,Run_Log!$F$2:$F$97,"SAFE")+COUNTIFS(Run_Log!$C$2:$C$97,A9,Run_Log!$F$2:$F$97,"BALANCED")+COUNTIFS(Run_Log!$C$2:$C$97,A9,Run_Log!$F$2:$F$97,"RISKY")</x:f>
        <x:v>0</x:v>
      </x:c>
      <x:c r="N9" s="13"/>
      <x:c r="O9" s="13" t="n">
        <x:v>130</x:v>
      </x:c>
    </x:row>
    <x:row r="10">
      <x:c r="A10" s="13" t="str">
        <x:v>L09</x:v>
      </x:c>
      <x:c r="B10" s="13" t="str">
        <x:v>03</x:v>
      </x:c>
      <x:c r="C10" s="13" t="str">
        <x:v>高压节奏</x:v>
      </x:c>
      <x:c r="D10" s="13" t="n">
        <x:f>COUNTIF(Run_Log!$C$2:$C$97,A10)</x:f>
        <x:v>8</x:v>
      </x:c>
      <x:c r="E10" s="24" t="n">
        <x:f>IFERROR(COUNTIFS(Run_Log!$C$2:$C$97,A10,Run_Log!$G$2:$G$97,"Y")/D10,0)</x:f>
        <x:v>0</x:v>
      </x:c>
      <x:c r="F10" s="13" t="str">
        <x:f>IFERROR(AVERAGEIF(Run_Log!$C$2:$C$97,A10,Run_Log!$H$2:$H$97),"")</x:f>
      </x:c>
      <x:c r="G10" s="13" t="str">
        <x:f>IFERROR(AVERAGEIF(Run_Log!$C$2:$C$97,A10,Run_Log!$I$2:$I$97),"")</x:f>
      </x:c>
      <x:c r="H10" s="13" t="str">
        <x:f>IFERROR(AVERAGEIF(Run_Log!$C$2:$C$97,A10,Run_Log!$J$2:$J$97),"")</x:f>
      </x:c>
      <x:c r="I10" s="13" t="str">
        <x:f>IFERROR(AVERAGEIF(Run_Log!$C$2:$C$97,A10,Run_Log!$K$2:$K$97),"")</x:f>
      </x:c>
      <x:c r="J10" s="13" t="str">
        <x:f>IFERROR(AVERAGEIF(Run_Log!$C$2:$C$97,A10,Run_Log!$Q$2:$Q$97),"")</x:f>
      </x:c>
      <x:c r="K10" s="24" t="n">
        <x:f>IFERROR(COUNTIFS(Run_Log!$C$2:$C$97,A10,Run_Log!$R$2:$R$97,"Y")/D10,0)</x:f>
        <x:v>0</x:v>
      </x:c>
      <x:c r="L10" s="24" t="n">
        <x:f>IFERROR(COUNTIFS(Run_Log!$C$2:$C$97,A10,Run_Log!$S$2:$S$97,"Y")/D10,0)</x:f>
        <x:v>0</x:v>
      </x:c>
      <x:c r="M10" s="13" t="n">
        <x:f>COUNTIFS(Run_Log!$C$2:$C$97,A10,Run_Log!$F$2:$F$97,"SAFE")+COUNTIFS(Run_Log!$C$2:$C$97,A10,Run_Log!$F$2:$F$97,"BALANCED")+COUNTIFS(Run_Log!$C$2:$C$97,A10,Run_Log!$F$2:$F$97,"RISKY")</x:f>
        <x:v>0</x:v>
      </x:c>
      <x:c r="N10" s="13"/>
      <x:c r="O10" s="13" t="n">
        <x:v>110</x:v>
      </x:c>
    </x:row>
    <x:row r="11">
      <x:c r="A11" s="13" t="str">
        <x:v>L10</x:v>
      </x:c>
      <x:c r="B11" s="13" t="str">
        <x:v>03</x:v>
      </x:c>
      <x:c r="C11" s="13" t="str">
        <x:v>连锁预测</x:v>
      </x:c>
      <x:c r="D11" s="13" t="n">
        <x:f>COUNTIF(Run_Log!$C$2:$C$97,A11)</x:f>
        <x:v>8</x:v>
      </x:c>
      <x:c r="E11" s="24" t="n">
        <x:f>IFERROR(COUNTIFS(Run_Log!$C$2:$C$97,A11,Run_Log!$G$2:$G$97,"Y")/D11,0)</x:f>
        <x:v>0</x:v>
      </x:c>
      <x:c r="F11" s="13" t="str">
        <x:f>IFERROR(AVERAGEIF(Run_Log!$C$2:$C$97,A11,Run_Log!$H$2:$H$97),"")</x:f>
      </x:c>
      <x:c r="G11" s="13" t="str">
        <x:f>IFERROR(AVERAGEIF(Run_Log!$C$2:$C$97,A11,Run_Log!$I$2:$I$97),"")</x:f>
      </x:c>
      <x:c r="H11" s="13" t="str">
        <x:f>IFERROR(AVERAGEIF(Run_Log!$C$2:$C$97,A11,Run_Log!$J$2:$J$97),"")</x:f>
      </x:c>
      <x:c r="I11" s="13" t="str">
        <x:f>IFERROR(AVERAGEIF(Run_Log!$C$2:$C$97,A11,Run_Log!$K$2:$K$97),"")</x:f>
      </x:c>
      <x:c r="J11" s="13" t="str">
        <x:f>IFERROR(AVERAGEIF(Run_Log!$C$2:$C$97,A11,Run_Log!$Q$2:$Q$97),"")</x:f>
      </x:c>
      <x:c r="K11" s="24" t="n">
        <x:f>IFERROR(COUNTIFS(Run_Log!$C$2:$C$97,A11,Run_Log!$R$2:$R$97,"Y")/D11,0)</x:f>
        <x:v>0</x:v>
      </x:c>
      <x:c r="L11" s="24" t="n">
        <x:f>IFERROR(COUNTIFS(Run_Log!$C$2:$C$97,A11,Run_Log!$S$2:$S$97,"Y")/D11,0)</x:f>
        <x:v>0</x:v>
      </x:c>
      <x:c r="M11" s="13" t="n">
        <x:f>COUNTIFS(Run_Log!$C$2:$C$97,A11,Run_Log!$F$2:$F$97,"SAFE")+COUNTIFS(Run_Log!$C$2:$C$97,A11,Run_Log!$F$2:$F$97,"BALANCED")+COUNTIFS(Run_Log!$C$2:$C$97,A11,Run_Log!$F$2:$F$97,"RISKY")</x:f>
        <x:v>0</x:v>
      </x:c>
      <x:c r="N11" s="13"/>
      <x:c r="O11" s="13" t="n">
        <x:v>125</x:v>
      </x:c>
    </x:row>
    <x:row r="12">
      <x:c r="A12" s="13" t="str">
        <x:v>L11</x:v>
      </x:c>
      <x:c r="B12" s="13" t="str">
        <x:v>03</x:v>
      </x:c>
      <x:c r="C12" s="13" t="str">
        <x:v>多线程管理</x:v>
      </x:c>
      <x:c r="D12" s="13" t="n">
        <x:f>COUNTIF(Run_Log!$C$2:$C$97,A12)</x:f>
        <x:v>8</x:v>
      </x:c>
      <x:c r="E12" s="24" t="n">
        <x:f>IFERROR(COUNTIFS(Run_Log!$C$2:$C$97,A12,Run_Log!$G$2:$G$97,"Y")/D12,0)</x:f>
        <x:v>0</x:v>
      </x:c>
      <x:c r="F12" s="13" t="str">
        <x:f>IFERROR(AVERAGEIF(Run_Log!$C$2:$C$97,A12,Run_Log!$H$2:$H$97),"")</x:f>
      </x:c>
      <x:c r="G12" s="13" t="str">
        <x:f>IFERROR(AVERAGEIF(Run_Log!$C$2:$C$97,A12,Run_Log!$I$2:$I$97),"")</x:f>
      </x:c>
      <x:c r="H12" s="13" t="str">
        <x:f>IFERROR(AVERAGEIF(Run_Log!$C$2:$C$97,A12,Run_Log!$J$2:$J$97),"")</x:f>
      </x:c>
      <x:c r="I12" s="13" t="str">
        <x:f>IFERROR(AVERAGEIF(Run_Log!$C$2:$C$97,A12,Run_Log!$K$2:$K$97),"")</x:f>
      </x:c>
      <x:c r="J12" s="13" t="str">
        <x:f>IFERROR(AVERAGEIF(Run_Log!$C$2:$C$97,A12,Run_Log!$Q$2:$Q$97),"")</x:f>
      </x:c>
      <x:c r="K12" s="24" t="n">
        <x:f>IFERROR(COUNTIFS(Run_Log!$C$2:$C$97,A12,Run_Log!$R$2:$R$97,"Y")/D12,0)</x:f>
        <x:v>0</x:v>
      </x:c>
      <x:c r="L12" s="24" t="n">
        <x:f>IFERROR(COUNTIFS(Run_Log!$C$2:$C$97,A12,Run_Log!$S$2:$S$97,"Y")/D12,0)</x:f>
        <x:v>0</x:v>
      </x:c>
      <x:c r="M12" s="13" t="n">
        <x:f>COUNTIFS(Run_Log!$C$2:$C$97,A12,Run_Log!$F$2:$F$97,"SAFE")+COUNTIFS(Run_Log!$C$2:$C$97,A12,Run_Log!$F$2:$F$97,"BALANCED")+COUNTIFS(Run_Log!$C$2:$C$97,A12,Run_Log!$F$2:$F$97,"RISKY")</x:f>
        <x:v>0</x:v>
      </x:c>
      <x:c r="N12" s="13"/>
      <x:c r="O12" s="13" t="n">
        <x:v>150</x:v>
      </x:c>
    </x:row>
    <x:row r="13">
      <x:c r="A13" s="13" t="str">
        <x:v>L12</x:v>
      </x:c>
      <x:c r="B13" s="13" t="str">
        <x:v>03</x:v>
      </x:c>
      <x:c r="C13" s="13" t="str">
        <x:v>Boss综合</x:v>
      </x:c>
      <x:c r="D13" s="13" t="n">
        <x:f>COUNTIF(Run_Log!$C$2:$C$97,A13)</x:f>
        <x:v>8</x:v>
      </x:c>
      <x:c r="E13" s="24" t="n">
        <x:f>IFERROR(COUNTIFS(Run_Log!$C$2:$C$97,A13,Run_Log!$G$2:$G$97,"Y")/D13,0)</x:f>
        <x:v>0</x:v>
      </x:c>
      <x:c r="F13" s="13" t="str">
        <x:f>IFERROR(AVERAGEIF(Run_Log!$C$2:$C$97,A13,Run_Log!$H$2:$H$97),"")</x:f>
      </x:c>
      <x:c r="G13" s="13" t="str">
        <x:f>IFERROR(AVERAGEIF(Run_Log!$C$2:$C$97,A13,Run_Log!$I$2:$I$97),"")</x:f>
      </x:c>
      <x:c r="H13" s="13" t="str">
        <x:f>IFERROR(AVERAGEIF(Run_Log!$C$2:$C$97,A13,Run_Log!$J$2:$J$97),"")</x:f>
      </x:c>
      <x:c r="I13" s="13" t="str">
        <x:f>IFERROR(AVERAGEIF(Run_Log!$C$2:$C$97,A13,Run_Log!$K$2:$K$97),"")</x:f>
      </x:c>
      <x:c r="J13" s="13" t="str">
        <x:f>IFERROR(AVERAGEIF(Run_Log!$C$2:$C$97,A13,Run_Log!$Q$2:$Q$97),"")</x:f>
      </x:c>
      <x:c r="K13" s="24" t="n">
        <x:f>IFERROR(COUNTIFS(Run_Log!$C$2:$C$97,A13,Run_Log!$R$2:$R$97,"Y")/D13,0)</x:f>
        <x:v>0</x:v>
      </x:c>
      <x:c r="L13" s="24" t="n">
        <x:f>IFERROR(COUNTIFS(Run_Log!$C$2:$C$97,A13,Run_Log!$S$2:$S$97,"Y")/D13,0)</x:f>
        <x:v>0</x:v>
      </x:c>
      <x:c r="M13" s="13" t="n">
        <x:f>COUNTIFS(Run_Log!$C$2:$C$97,A13,Run_Log!$F$2:$F$97,"SAFE")+COUNTIFS(Run_Log!$C$2:$C$97,A13,Run_Log!$F$2:$F$97,"BALANCED")+COUNTIFS(Run_Log!$C$2:$C$97,A13,Run_Log!$F$2:$F$97,"RISKY")</x:f>
        <x:v>0</x:v>
      </x:c>
      <x:c r="N13" s="13"/>
      <x:c r="O13" s="13" t="n">
        <x:v>180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7" t="str">
        <x:v>FailCode</x:v>
      </x:c>
      <x:c r="B1" s="17" t="str">
        <x:v>Count</x:v>
      </x:c>
      <x:c r="C1" s="17" t="str">
        <x:v>Share</x:v>
      </x:c>
    </x:row>
    <x:row r="2">
      <x:c r="A2" t="str">
        <x:v>FAIL_TOO_LATE</x:v>
      </x:c>
      <x:c r="B2" t="n">
        <x:f>COUNTIF(Run_Log!$O$2:$O$97,A2)</x:f>
        <x:v>0</x:v>
      </x:c>
      <x:c r="C2" s="26" t="n">
        <x:f>IFERROR(B2/SUM($B$2:$B$8),0)</x:f>
        <x:v>0</x:v>
      </x:c>
    </x:row>
    <x:row r="3">
      <x:c r="A3" t="str">
        <x:v>FAIL_WRONG_ORDER</x:v>
      </x:c>
      <x:c r="B3" t="n">
        <x:f>COUNTIF(Run_Log!$O$2:$O$97,A3)</x:f>
        <x:v>0</x:v>
      </x:c>
      <x:c r="C3" s="26" t="n">
        <x:f>IFERROR(B3/SUM($B$2:$B$8),0)</x:f>
        <x:v>0</x:v>
      </x:c>
    </x:row>
    <x:row r="4">
      <x:c r="A4" t="str">
        <x:v>FAIL_SUSPICION</x:v>
      </x:c>
      <x:c r="B4" t="n">
        <x:f>COUNTIF(Run_Log!$O$2:$O$97,A4)</x:f>
        <x:v>0</x:v>
      </x:c>
      <x:c r="C4" s="26" t="n">
        <x:f>IFERROR(B4/SUM($B$2:$B$8),0)</x:f>
        <x:v>0</x:v>
      </x:c>
    </x:row>
    <x:row r="5">
      <x:c r="A5" t="str">
        <x:v>FAIL_NINJA_DEATH</x:v>
      </x:c>
      <x:c r="B5" t="n">
        <x:f>COUNTIF(Run_Log!$O$2:$O$97,A5)</x:f>
        <x:v>0</x:v>
      </x:c>
      <x:c r="C5" s="26" t="n">
        <x:f>IFERROR(B5/SUM($B$2:$B$8),0)</x:f>
        <x:v>0</x:v>
      </x:c>
    </x:row>
    <x:row r="6">
      <x:c r="A6" t="str">
        <x:v>FAIL_BOSS_FINISHER</x:v>
      </x:c>
      <x:c r="B6" t="n">
        <x:f>COUNTIF(Run_Log!$O$2:$O$97,A6)</x:f>
        <x:v>0</x:v>
      </x:c>
      <x:c r="C6" s="26" t="n">
        <x:f>IFERROR(B6/SUM($B$2:$B$8),0)</x:f>
        <x:v>0</x:v>
      </x:c>
    </x:row>
    <x:row r="7">
      <x:c r="A7" t="str">
        <x:v>FAIL_ROUTE_BLOCKED</x:v>
      </x:c>
      <x:c r="B7" t="n">
        <x:f>COUNTIF(Run_Log!$O$2:$O$97,A7)</x:f>
        <x:v>0</x:v>
      </x:c>
      <x:c r="C7" s="26" t="n">
        <x:f>IFERROR(B7/SUM($B$2:$B$8),0)</x:f>
        <x:v>0</x:v>
      </x:c>
    </x:row>
    <x:row r="8">
      <x:c r="A8" t="str">
        <x:v>FAIL_TIMEOUT</x:v>
      </x:c>
      <x:c r="B8" t="n">
        <x:f>COUNTIF(Run_Log!$O$2:$O$97,A8)</x:f>
        <x:v>0</x:v>
      </x:c>
      <x:c r="C8" s="26" t="n">
        <x:f>IFERROR(B8/SUM($B$2:$B$8),0)</x:f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18" t="str">
        <x:v>LevelID</x:v>
      </x:c>
      <x:c r="B1" s="18" t="str">
        <x:v>SAFE</x:v>
      </x:c>
      <x:c r="C1" s="18" t="str">
        <x:v>BALANCED</x:v>
      </x:c>
      <x:c r="D1" s="18" t="str">
        <x:v>RISKY</x:v>
      </x:c>
    </x:row>
    <x:row r="2">
      <x:c r="A2" s="13" t="str">
        <x:v>L01</x:v>
      </x:c>
      <x:c r="B2" s="13" t="n">
        <x:f>COUNTIFS(Run_Log!$C$2:$C$97,A2,Run_Log!$F$2:$F$97,"SAFE")</x:f>
        <x:v>0</x:v>
      </x:c>
      <x:c r="C2" s="13" t="n">
        <x:f>COUNTIFS(Run_Log!$C$2:$C$97,A2,Run_Log!$F$2:$F$97,"BALANCED")</x:f>
        <x:v>0</x:v>
      </x:c>
      <x:c r="D2" s="13" t="n">
        <x:f>COUNTIFS(Run_Log!$C$2:$C$97,A2,Run_Log!$F$2:$F$97,"RISKY")</x:f>
        <x:v>0</x:v>
      </x:c>
    </x:row>
    <x:row r="3">
      <x:c r="A3" s="13" t="str">
        <x:v>L02</x:v>
      </x:c>
      <x:c r="B3" s="13" t="n">
        <x:f>COUNTIFS(Run_Log!$C$2:$C$97,A3,Run_Log!$F$2:$F$97,"SAFE")</x:f>
        <x:v>0</x:v>
      </x:c>
      <x:c r="C3" s="13" t="n">
        <x:f>COUNTIFS(Run_Log!$C$2:$C$97,A3,Run_Log!$F$2:$F$97,"BALANCED")</x:f>
        <x:v>0</x:v>
      </x:c>
      <x:c r="D3" s="13" t="n">
        <x:f>COUNTIFS(Run_Log!$C$2:$C$97,A3,Run_Log!$F$2:$F$97,"RISKY")</x:f>
        <x:v>0</x:v>
      </x:c>
    </x:row>
    <x:row r="4">
      <x:c r="A4" s="13" t="str">
        <x:v>L03</x:v>
      </x:c>
      <x:c r="B4" s="13" t="n">
        <x:f>COUNTIFS(Run_Log!$C$2:$C$97,A4,Run_Log!$F$2:$F$97,"SAFE")</x:f>
        <x:v>0</x:v>
      </x:c>
      <x:c r="C4" s="13" t="n">
        <x:f>COUNTIFS(Run_Log!$C$2:$C$97,A4,Run_Log!$F$2:$F$97,"BALANCED")</x:f>
        <x:v>0</x:v>
      </x:c>
      <x:c r="D4" s="13" t="n">
        <x:f>COUNTIFS(Run_Log!$C$2:$C$97,A4,Run_Log!$F$2:$F$97,"RISKY")</x:f>
        <x:v>0</x:v>
      </x:c>
    </x:row>
    <x:row r="5">
      <x:c r="A5" s="13" t="str">
        <x:v>L04</x:v>
      </x:c>
      <x:c r="B5" s="13" t="n">
        <x:f>COUNTIFS(Run_Log!$C$2:$C$97,A5,Run_Log!$F$2:$F$97,"SAFE")</x:f>
        <x:v>0</x:v>
      </x:c>
      <x:c r="C5" s="13" t="n">
        <x:f>COUNTIFS(Run_Log!$C$2:$C$97,A5,Run_Log!$F$2:$F$97,"BALANCED")</x:f>
        <x:v>0</x:v>
      </x:c>
      <x:c r="D5" s="13" t="n">
        <x:f>COUNTIFS(Run_Log!$C$2:$C$97,A5,Run_Log!$F$2:$F$97,"RISKY")</x:f>
        <x:v>0</x:v>
      </x:c>
    </x:row>
    <x:row r="6">
      <x:c r="A6" s="13" t="str">
        <x:v>L05</x:v>
      </x:c>
      <x:c r="B6" s="13" t="n">
        <x:f>COUNTIFS(Run_Log!$C$2:$C$97,A6,Run_Log!$F$2:$F$97,"SAFE")</x:f>
        <x:v>0</x:v>
      </x:c>
      <x:c r="C6" s="13" t="n">
        <x:f>COUNTIFS(Run_Log!$C$2:$C$97,A6,Run_Log!$F$2:$F$97,"BALANCED")</x:f>
        <x:v>0</x:v>
      </x:c>
      <x:c r="D6" s="13" t="n">
        <x:f>COUNTIFS(Run_Log!$C$2:$C$97,A6,Run_Log!$F$2:$F$97,"RISKY")</x:f>
        <x:v>0</x:v>
      </x:c>
    </x:row>
    <x:row r="7">
      <x:c r="A7" s="13" t="str">
        <x:v>L06</x:v>
      </x:c>
      <x:c r="B7" s="13" t="n">
        <x:f>COUNTIFS(Run_Log!$C$2:$C$97,A7,Run_Log!$F$2:$F$97,"SAFE")</x:f>
        <x:v>0</x:v>
      </x:c>
      <x:c r="C7" s="13" t="n">
        <x:f>COUNTIFS(Run_Log!$C$2:$C$97,A7,Run_Log!$F$2:$F$97,"BALANCED")</x:f>
        <x:v>0</x:v>
      </x:c>
      <x:c r="D7" s="13" t="n">
        <x:f>COUNTIFS(Run_Log!$C$2:$C$97,A7,Run_Log!$F$2:$F$97,"RISKY")</x:f>
        <x:v>0</x:v>
      </x:c>
    </x:row>
    <x:row r="8">
      <x:c r="A8" s="13" t="str">
        <x:v>L07</x:v>
      </x:c>
      <x:c r="B8" s="13" t="n">
        <x:f>COUNTIFS(Run_Log!$C$2:$C$97,A8,Run_Log!$F$2:$F$97,"SAFE")</x:f>
        <x:v>0</x:v>
      </x:c>
      <x:c r="C8" s="13" t="n">
        <x:f>COUNTIFS(Run_Log!$C$2:$C$97,A8,Run_Log!$F$2:$F$97,"BALANCED")</x:f>
        <x:v>0</x:v>
      </x:c>
      <x:c r="D8" s="13" t="n">
        <x:f>COUNTIFS(Run_Log!$C$2:$C$97,A8,Run_Log!$F$2:$F$97,"RISKY")</x:f>
        <x:v>0</x:v>
      </x:c>
    </x:row>
    <x:row r="9">
      <x:c r="A9" s="13" t="str">
        <x:v>L08</x:v>
      </x:c>
      <x:c r="B9" s="13" t="n">
        <x:f>COUNTIFS(Run_Log!$C$2:$C$97,A9,Run_Log!$F$2:$F$97,"SAFE")</x:f>
        <x:v>0</x:v>
      </x:c>
      <x:c r="C9" s="13" t="n">
        <x:f>COUNTIFS(Run_Log!$C$2:$C$97,A9,Run_Log!$F$2:$F$97,"BALANCED")</x:f>
        <x:v>0</x:v>
      </x:c>
      <x:c r="D9" s="13" t="n">
        <x:f>COUNTIFS(Run_Log!$C$2:$C$97,A9,Run_Log!$F$2:$F$97,"RISKY")</x:f>
        <x:v>0</x:v>
      </x:c>
    </x:row>
    <x:row r="10">
      <x:c r="A10" s="13" t="str">
        <x:v>L09</x:v>
      </x:c>
      <x:c r="B10" s="13" t="n">
        <x:f>COUNTIFS(Run_Log!$C$2:$C$97,A10,Run_Log!$F$2:$F$97,"SAFE")</x:f>
        <x:v>0</x:v>
      </x:c>
      <x:c r="C10" s="13" t="n">
        <x:f>COUNTIFS(Run_Log!$C$2:$C$97,A10,Run_Log!$F$2:$F$97,"BALANCED")</x:f>
        <x:v>0</x:v>
      </x:c>
      <x:c r="D10" s="13" t="n">
        <x:f>COUNTIFS(Run_Log!$C$2:$C$97,A10,Run_Log!$F$2:$F$97,"RISKY")</x:f>
        <x:v>0</x:v>
      </x:c>
    </x:row>
    <x:row r="11">
      <x:c r="A11" s="13" t="str">
        <x:v>L10</x:v>
      </x:c>
      <x:c r="B11" s="13" t="n">
        <x:f>COUNTIFS(Run_Log!$C$2:$C$97,A11,Run_Log!$F$2:$F$97,"SAFE")</x:f>
        <x:v>0</x:v>
      </x:c>
      <x:c r="C11" s="13" t="n">
        <x:f>COUNTIFS(Run_Log!$C$2:$C$97,A11,Run_Log!$F$2:$F$97,"BALANCED")</x:f>
        <x:v>0</x:v>
      </x:c>
      <x:c r="D11" s="13" t="n">
        <x:f>COUNTIFS(Run_Log!$C$2:$C$97,A11,Run_Log!$F$2:$F$97,"RISKY")</x:f>
        <x:v>0</x:v>
      </x:c>
    </x:row>
    <x:row r="12">
      <x:c r="A12" s="13" t="str">
        <x:v>L11</x:v>
      </x:c>
      <x:c r="B12" s="13" t="n">
        <x:f>COUNTIFS(Run_Log!$C$2:$C$97,A12,Run_Log!$F$2:$F$97,"SAFE")</x:f>
        <x:v>0</x:v>
      </x:c>
      <x:c r="C12" s="13" t="n">
        <x:f>COUNTIFS(Run_Log!$C$2:$C$97,A12,Run_Log!$F$2:$F$97,"BALANCED")</x:f>
        <x:v>0</x:v>
      </x:c>
      <x:c r="D12" s="13" t="n">
        <x:f>COUNTIFS(Run_Log!$C$2:$C$97,A12,Run_Log!$F$2:$F$97,"RISKY")</x:f>
        <x:v>0</x:v>
      </x:c>
    </x:row>
    <x:row r="13">
      <x:c r="A13" s="13" t="str">
        <x:v>L12</x:v>
      </x:c>
      <x:c r="B13" s="13" t="n">
        <x:f>COUNTIFS(Run_Log!$C$2:$C$97,A13,Run_Log!$F$2:$F$97,"SAFE")</x:f>
        <x:v>0</x:v>
      </x:c>
      <x:c r="C13" s="13" t="n">
        <x:f>COUNTIFS(Run_Log!$C$2:$C$97,A13,Run_Log!$F$2:$F$97,"BALANCED")</x:f>
        <x:v>0</x:v>
      </x:c>
      <x:c r="D13" s="13" t="n">
        <x:f>COUNTIFS(Run_Log!$C$2:$C$97,A13,Run_Log!$F$2:$F$97,"RISKY")</x:f>
        <x:v>0</x:v>
      </x:c>
    </x:row>
  </x:sheetData>
  <x:conditionalFormatting sqref="B2:D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{CAEA957B-E585-4C53-D016-D1E958299AAB}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AEA957B-E585-4C53-D016-D1E958299AAB}">
            <x14:dataBar gradient="1">
              <x14:cfvo type="min"/>
              <x14:cfvo type="max"/>
              <x14:fillColor rgb="FFA02B93"/>
            </x14:dataBar>
          </x14:cfRule>
          <xm:sqref>B2:D13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4" max="4" width="12" hidden="0" customWidth="1"/>
    <x:col min="5" max="5" width="48" hidden="0" customWidth="1"/>
  </x:cols>
  <x:sheetData>
    <x:row r="1">
      <x:c r="A1" s="4" t="str">
        <x:v>《猫忍不住》v1.2.26 · Playtest Dashboard</x:v>
      </x:c>
      <x:c r="B1" s="4"/>
      <x:c r="C1" s="4"/>
      <x:c r="D1" s="4"/>
      <x:c r="E1" s="4"/>
      <x:c r="F1" s="4"/>
      <x:c r="G1" s="4"/>
      <x:c r="H1" s="4"/>
    </x:row>
    <x:row r="3">
      <x:c r="A3" s="18" t="str">
        <x:v>核心指标</x:v>
      </x:c>
      <x:c r="B3" s="18" t="str">
        <x:v>值</x:v>
      </x:c>
      <x:c r="C3" s="13"/>
      <x:c r="D3" s="18" t="str">
        <x:v>使用说明</x:v>
      </x:c>
      <x:c r="E3" s="18" t="str"/>
      <x:c r="G3" t="str">
        <x:v>Level</x:v>
      </x:c>
      <x:c r="H3" t="str">
        <x:v>TargetUpper</x:v>
      </x:c>
    </x:row>
    <x:row r="4">
      <x:c r="A4" s="13" t="str">
        <x:v>主记录槽位</x:v>
      </x:c>
      <x:c r="B4" s="13" t="n">
        <x:v>96</x:v>
      </x:c>
      <x:c r="C4" s="13"/>
      <x:c r="D4" s="13" t="str">
        <x:v>1</x:v>
      </x:c>
      <x:c r="E4" s="13" t="str">
        <x:v>先填 Run_Log。</x:v>
      </x:c>
      <x:c r="G4" t="str">
        <x:v>L01</x:v>
      </x:c>
      <x:c r="H4" t="n">
        <x:v>70</x:v>
      </x:c>
    </x:row>
    <x:row r="5">
      <x:c r="A5" s="13" t="str">
        <x:v>当前录入记录</x:v>
      </x:c>
      <x:c r="B5" s="13" t="n">
        <x:f>COUNTA(Run_Log!C2:C97)</x:f>
        <x:v>96</x:v>
      </x:c>
      <x:c r="C5" s="13"/>
      <x:c r="D5" s="13" t="str">
        <x:v>2</x:v>
      </x:c>
      <x:c r="E5" s="13" t="str">
        <x:v>必要时补 Event_Log。</x:v>
      </x:c>
      <x:c r="G5" t="str">
        <x:v>L02</x:v>
      </x:c>
      <x:c r="H5" t="n">
        <x:v>65</x:v>
      </x:c>
    </x:row>
    <x:row r="6">
      <x:c r="A6" s="13" t="str">
        <x:v>已通关记录</x:v>
      </x:c>
      <x:c r="B6" s="13" t="n">
        <x:f>COUNTIF(Run_Log!G2:G97,"Y")</x:f>
        <x:v>0</x:v>
      </x:c>
      <x:c r="C6" s="13"/>
      <x:c r="D6" s="13" t="str">
        <x:v>3</x:v>
      </x:c>
      <x:c r="E6" s="13" t="str">
        <x:v>Level_Summary / Failure_Summary / Route_Summary 自动更新。</x:v>
      </x:c>
      <x:c r="G6" t="str">
        <x:v>L03</x:v>
      </x:c>
      <x:c r="H6" t="n">
        <x:v>75</x:v>
      </x:c>
    </x:row>
    <x:row r="7">
      <x:c r="A7" s="13" t="str">
        <x:v>总体通关率</x:v>
      </x:c>
      <x:c r="B7" s="24" t="n">
        <x:f>IFERROR(B6/B5,0)</x:f>
        <x:v>0</x:v>
      </x:c>
      <x:c r="C7" s="13"/>
      <x:c r="D7" s="13" t="str">
        <x:v>4</x:v>
      </x:c>
      <x:c r="E7" s="13" t="str">
        <x:v>真实测试后再冻结 Balance Sheet。</x:v>
      </x:c>
      <x:c r="G7" t="str">
        <x:v>L04</x:v>
      </x:c>
      <x:c r="H7" t="n">
        <x:v>80</x:v>
      </x:c>
    </x:row>
    <x:row r="8">
      <x:c r="A8" s="13" t="str">
        <x:v>理解核心比例</x:v>
      </x:c>
      <x:c r="B8" s="24" t="n">
        <x:f>IFERROR(COUNTIF(Run_Log!R2:R97,"Y")/B5,0)</x:f>
        <x:v>0</x:v>
      </x:c>
      <x:c r="C8" s="13"/>
      <x:c r="D8" s="13" t="str">
        <x:v>注意</x:v>
      </x:c>
      <x:c r="E8" s="13" t="str">
        <x:v>空白记录不应被解读为 0% 通过。</x:v>
      </x:c>
      <x:c r="G8" t="str">
        <x:v>L05</x:v>
      </x:c>
      <x:c r="H8" t="n">
        <x:v>90</x:v>
      </x:c>
    </x:row>
    <x:row r="9">
      <x:c r="G9" t="str">
        <x:v>L06</x:v>
      </x:c>
      <x:c r="H9" t="n">
        <x:v>100</x:v>
      </x:c>
    </x:row>
    <x:row r="10">
      <x:c r="G10" t="str">
        <x:v>L07</x:v>
      </x:c>
      <x:c r="H10" t="n">
        <x:v>115</x:v>
      </x:c>
    </x:row>
    <x:row r="11">
      <x:c r="G11" t="str">
        <x:v>L08</x:v>
      </x:c>
      <x:c r="H11" t="n">
        <x:v>130</x:v>
      </x:c>
    </x:row>
    <x:row r="12">
      <x:c r="G12" t="str">
        <x:v>L09</x:v>
      </x:c>
      <x:c r="H12" t="n">
        <x:v>110</x:v>
      </x:c>
    </x:row>
    <x:row r="13">
      <x:c r="G13" t="str">
        <x:v>L10</x:v>
      </x:c>
      <x:c r="H13" t="n">
        <x:v>125</x:v>
      </x:c>
    </x:row>
    <x:row r="14">
      <x:c r="G14" t="str">
        <x:v>L11</x:v>
      </x:c>
      <x:c r="H14" t="n">
        <x:v>150</x:v>
      </x:c>
    </x:row>
    <x:row r="15">
      <x:c r="G15" t="str">
        <x:v>L12</x:v>
      </x:c>
      <x:c r="H15" t="n">
        <x:v>180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ef24a978e46473b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5" hidden="0" customWidth="1"/>
    <x:col min="4" max="4" width="18" hidden="0" customWidth="1"/>
    <x:col min="5" max="5" width="32" hidden="0" customWidth="1"/>
    <x:col min="6" max="6" width="32" hidden="0" customWidth="1"/>
    <x:col min="7" max="7" width="14" hidden="0" customWidth="1"/>
    <x:col min="8" max="8" width="42" hidden="0" customWidth="1"/>
  </x:cols>
  <x:sheetData>
    <x:row r="1">
      <x:c r="A1" s="18" t="str">
        <x:v>TesterID</x:v>
      </x:c>
      <x:c r="B1" s="18" t="str">
        <x:v>SessionID</x:v>
      </x:c>
      <x:c r="C1" s="18" t="str">
        <x:v>OverallFun1to5</x:v>
      </x:c>
      <x:c r="D1" s="18" t="str">
        <x:v>CoreExplanation</x:v>
      </x:c>
      <x:c r="E1" s="18" t="str">
        <x:v>MostConfusingMoment</x:v>
      </x:c>
      <x:c r="F1" s="18" t="str">
        <x:v>MostSatisfyingMoment</x:v>
      </x:c>
      <x:c r="G1" s="18" t="str">
        <x:v>WouldReplay</x:v>
      </x:c>
      <x:c r="H1" s="18" t="str">
        <x:v>FreeComment</x:v>
      </x:c>
    </x:row>
    <x:row r="2">
      <x:c r="A2" s="13" t="str">
        <x:v>T01</x:v>
      </x:c>
      <x:c r="B2" s="13" t="str"/>
      <x:c r="C2" s="13" t="str"/>
      <x:c r="D2" s="13" t="str"/>
      <x:c r="E2" s="13" t="str"/>
      <x:c r="F2" s="13" t="str"/>
      <x:c r="G2" s="13" t="str"/>
      <x:c r="H2" s="13" t="str"/>
    </x:row>
    <x:row r="3">
      <x:c r="A3" s="13" t="str">
        <x:v>T02</x:v>
      </x:c>
      <x:c r="B3" s="13" t="str"/>
      <x:c r="C3" s="13" t="str"/>
      <x:c r="D3" s="13" t="str"/>
      <x:c r="E3" s="13" t="str"/>
      <x:c r="F3" s="13" t="str"/>
      <x:c r="G3" s="13" t="str"/>
      <x:c r="H3" s="13" t="str"/>
    </x:row>
    <x:row r="4">
      <x:c r="A4" s="13" t="str">
        <x:v>T03</x:v>
      </x:c>
      <x:c r="B4" s="13" t="str"/>
      <x:c r="C4" s="13" t="str"/>
      <x:c r="D4" s="13" t="str"/>
      <x:c r="E4" s="13" t="str"/>
      <x:c r="F4" s="13" t="str"/>
      <x:c r="G4" s="13" t="str"/>
      <x:c r="H4" s="13" t="str"/>
    </x:row>
    <x:row r="5">
      <x:c r="A5" s="13" t="str">
        <x:v>T04</x:v>
      </x:c>
      <x:c r="B5" s="13" t="str"/>
      <x:c r="C5" s="13" t="str"/>
      <x:c r="D5" s="13" t="str"/>
      <x:c r="E5" s="13" t="str"/>
      <x:c r="F5" s="13" t="str"/>
      <x:c r="G5" s="13" t="str"/>
      <x:c r="H5" s="13" t="str"/>
    </x:row>
    <x:row r="6">
      <x:c r="A6" s="13" t="str">
        <x:v>T05</x:v>
      </x:c>
      <x:c r="B6" s="13" t="str"/>
      <x:c r="C6" s="13" t="str"/>
      <x:c r="D6" s="13" t="str"/>
      <x:c r="E6" s="13" t="str"/>
      <x:c r="F6" s="13" t="str"/>
      <x:c r="G6" s="13" t="str"/>
      <x:c r="H6" s="13" t="str"/>
    </x:row>
    <x:row r="7">
      <x:c r="A7" s="13" t="str">
        <x:v>T06</x:v>
      </x:c>
      <x:c r="B7" s="13" t="str"/>
      <x:c r="C7" s="13" t="str"/>
      <x:c r="D7" s="13" t="str"/>
      <x:c r="E7" s="13" t="str"/>
      <x:c r="F7" s="13" t="str"/>
      <x:c r="G7" s="13" t="str"/>
      <x:c r="H7" s="13" t="str"/>
    </x:row>
    <x:row r="8">
      <x:c r="A8" s="13" t="str">
        <x:v>T07</x:v>
      </x:c>
      <x:c r="B8" s="13" t="str"/>
      <x:c r="C8" s="13" t="str"/>
      <x:c r="D8" s="13" t="str"/>
      <x:c r="E8" s="13" t="str"/>
      <x:c r="F8" s="13" t="str"/>
      <x:c r="G8" s="13" t="str"/>
      <x:c r="H8" s="13" t="str"/>
    </x:row>
    <x:row r="9">
      <x:c r="A9" s="13" t="str">
        <x:v>T08</x:v>
      </x:c>
      <x:c r="B9" s="13" t="str"/>
      <x:c r="C9" s="13" t="str"/>
      <x:c r="D9" s="13" t="str"/>
      <x:c r="E9" s="13" t="str"/>
      <x:c r="F9" s="13" t="str"/>
      <x:c r="G9" s="13" t="str"/>
      <x:c r="H9" s="13" t="str"/>
    </x:row>
  </x:sheetData>
  <x:dataValidations count="3">
    <x:dataValidation type="list" sqref="C2:C9">
      <x:formula1>"1,2,3,4,5"</x:formula1>
    </x:dataValidation>
    <x:dataValidation type="list" sqref="D2:D9">
      <x:formula1>"清楚,基本清楚,不清楚"</x:formula1>
    </x:dataValidation>
    <x:dataValidation type="list" sqref="G2:G9">
      <x:formula1>"Y,N,Maybe"</x:formula1>
    </x:dataValidation>
  </x:dataValidations>
  <x:pageMargins left="0.7" right="0.7" top="0.75" bottom="0.75" header="0.3" footer="0.3"/>
</x:worksheet>
</file>